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 brabo\Desktop\Santander_Excel_com_IA\"/>
    </mc:Choice>
  </mc:AlternateContent>
  <xr:revisionPtr revIDLastSave="0" documentId="13_ncr:1_{6114BF36-2129-4902-AFCD-873954345AB7}" xr6:coauthVersionLast="47" xr6:coauthVersionMax="47" xr10:uidLastSave="{00000000-0000-0000-0000-000000000000}"/>
  <bookViews>
    <workbookView xWindow="-120" yWindow="-120" windowWidth="24240" windowHeight="13140" tabRatio="421" activeTab="3" xr2:uid="{73D2BBCA-7E25-4A24-A4BB-713460D147B5}"/>
  </bookViews>
  <sheets>
    <sheet name="Titular" sheetId="1" r:id="rId1"/>
    <sheet name="Informes" sheetId="8" r:id="rId2"/>
    <sheet name="Notas" sheetId="9" r:id="rId3"/>
    <sheet name="Dashboard" sheetId="13" r:id="rId4"/>
    <sheet name="Planilha1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3" l="1"/>
  <c r="I18" i="13"/>
  <c r="H18" i="13"/>
  <c r="I19" i="13"/>
  <c r="H19" i="13"/>
  <c r="H17" i="13"/>
  <c r="C11" i="8"/>
</calcChain>
</file>

<file path=xl/sharedStrings.xml><?xml version="1.0" encoding="utf-8"?>
<sst xmlns="http://schemas.openxmlformats.org/spreadsheetml/2006/main" count="107" uniqueCount="91">
  <si>
    <t>Nome</t>
  </si>
  <si>
    <t>CPF</t>
  </si>
  <si>
    <t>Título de eleitor</t>
  </si>
  <si>
    <t>Rua abreviada</t>
  </si>
  <si>
    <t>CEP</t>
  </si>
  <si>
    <t>Telefone</t>
  </si>
  <si>
    <t>Celular</t>
  </si>
  <si>
    <t>Email</t>
  </si>
  <si>
    <t>Houve alteração da entrega anterior?</t>
  </si>
  <si>
    <t>Dependente cônjuge</t>
  </si>
  <si>
    <t>Residente do exterior</t>
  </si>
  <si>
    <t>1. DADOS DO TITULAR</t>
  </si>
  <si>
    <t>Preencha os dados do titular</t>
  </si>
  <si>
    <t>brunodegarcia@outlook.com</t>
  </si>
  <si>
    <t>SIM</t>
  </si>
  <si>
    <t>NÃO</t>
  </si>
  <si>
    <t>Data de nascimento</t>
  </si>
  <si>
    <t>Rua dos Tabajaras N: 2000</t>
  </si>
  <si>
    <t>Preencha com seus dados atuais de cada banco</t>
  </si>
  <si>
    <t>2. INFORMES DE RENDIMENTOS BANCÁRIOS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</si>
  <si>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</si>
  <si>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</si>
  <si>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</si>
  <si>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</si>
  <si>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</si>
  <si>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</si>
  <si>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</si>
  <si>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</si>
  <si>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</si>
  <si>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</si>
  <si>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</si>
  <si>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</si>
  <si>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</si>
  <si>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</si>
  <si>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</si>
  <si>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</si>
  <si>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</si>
  <si>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</si>
  <si>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</si>
  <si>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</si>
  <si>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</si>
  <si>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</si>
  <si>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</si>
  <si>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</si>
  <si>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</si>
  <si>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</si>
  <si>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</si>
  <si>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</si>
  <si>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</si>
  <si>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</si>
  <si>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</si>
  <si>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</si>
  <si>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</si>
  <si>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</si>
  <si>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</si>
  <si>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</si>
  <si>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</si>
  <si>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</si>
  <si>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</si>
  <si>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</si>
  <si>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</si>
  <si>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</si>
  <si>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</si>
  <si>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</si>
  <si>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</si>
  <si>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</si>
  <si>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</si>
  <si>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</si>
  <si>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</si>
  <si>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</si>
  <si>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</si>
  <si>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</si>
  <si>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</si>
  <si>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</si>
  <si>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</si>
  <si>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</si>
  <si>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</si>
  <si>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Valor total</t>
  </si>
  <si>
    <t>Bruno Montezuma Hernandéz Garcia</t>
  </si>
  <si>
    <t>3. NOTAS BANCÁRIAS OU EXTRATO DE HOLERITES</t>
  </si>
  <si>
    <t>São todos so valores de entrada mês a mês na receita</t>
  </si>
  <si>
    <t>Data</t>
  </si>
  <si>
    <t>Categoria</t>
  </si>
  <si>
    <t>Valor</t>
  </si>
  <si>
    <t>Entradas</t>
  </si>
  <si>
    <t>Coluna1</t>
  </si>
  <si>
    <t>Coluna2</t>
  </si>
  <si>
    <t>EMPRESÁRIO</t>
  </si>
  <si>
    <t>4.Dashboard</t>
  </si>
  <si>
    <t>Apresenta, do valor total, o quanto o valor em cada banco representa em porcentagem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</si>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</sst>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Century Gothic"/>
      <family val="2"/>
    </font>
    <font>
      <b/>
      <sz val="18"/>
      <color theme="0" tint="-0.499984740745262"/>
      <name val="Aptos Narrow"/>
      <family val="2"/>
      <scheme val="minor"/>
    </font>
    <font>
      <sz val="11"/>
      <color theme="3" tint="0.74999237037263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1" fillId="0" borderId="1" xfId="1"/>
    <xf numFmtId="0" fontId="4" fillId="0" borderId="1" xfId="1" applyFont="1"/>
    <xf numFmtId="0" fontId="5" fillId="0" borderId="0" xfId="0" applyFont="1"/>
    <xf numFmtId="0" fontId="0" fillId="0" borderId="0" xfId="0"/>
    <xf numFmtId="0" fontId="7" fillId="0" borderId="0" xfId="0" applyFont="1"/>
    <xf numFmtId="0" fontId="0" fillId="0" borderId="0" xfId="0"/>
    <xf numFmtId="0" fontId="3" fillId="5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168" fontId="0" fillId="0" borderId="0" xfId="0" applyNumberFormat="1"/>
    <xf numFmtId="0" fontId="0" fillId="0" borderId="4" xfId="0" applyFont="1" applyBorder="1"/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Protection="1">
      <protection locked="0"/>
    </xf>
    <xf numFmtId="0" fontId="2" fillId="3" borderId="2" xfId="2" applyBorder="1" applyProtection="1"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4" fontId="3" fillId="0" borderId="0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0" fillId="4" borderId="3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68" fontId="8" fillId="3" borderId="0" xfId="2" applyNumberFormat="1" applyFont="1" applyAlignment="1">
      <alignment horizontal="center"/>
    </xf>
    <xf numFmtId="0" fontId="8" fillId="3" borderId="0" xfId="2" applyFont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2" xfId="1" builtinId="17"/>
  </cellStyles>
  <dxfs count="1">
    <dxf>
      <numFmt numFmtId="168" formatCode="&quot;R$&quot;\ #,##0.00"/>
    </dxf>
  </dxfs>
  <tableStyles count="0" defaultTableStyle="TableStyleMedium2" defaultPivotStyle="PivotStyleLight16"/>
  <colors>
    <mruColors>
      <color rgb="FFE0E0E0"/>
      <color rgb="FFA6A6A6"/>
      <color rgb="FFFFFFFF"/>
      <color rgb="FF8C8C8C"/>
      <color rgb="FFB3B3B3"/>
      <color rgb="FFC0C0C0"/>
      <color rgb="FFE6E6E6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Valores</a:t>
            </a:r>
            <a:r>
              <a:rPr lang="en-US" baseline="0"/>
              <a:t> por banco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Dashboard!$I$16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3D-443A-90A2-A4AEDA4B42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3D-443A-90A2-A4AEDA4B42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3D-443A-90A2-A4AEDA4B42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Dashboard!$H$17:$H$19</c:f>
              <c:strCache>
                <c:ptCount val="3"/>
                <c:pt idx="0">
                  <c:v>3 - Banco da Amazônia</c:v>
                </c:pt>
                <c:pt idx="1">
                  <c:v>707 - Banco Daycoval</c:v>
                </c:pt>
                <c:pt idx="2">
                  <c:v>654 - Banco AJ Renner</c:v>
                </c:pt>
              </c:strCache>
            </c:strRef>
          </c:cat>
          <c:val>
            <c:numRef>
              <c:f>Dashboard!$I$17:$I$19</c:f>
              <c:numCache>
                <c:formatCode>"R$"\ #,##0.00</c:formatCode>
                <c:ptCount val="3"/>
                <c:pt idx="0">
                  <c:v>30010047</c:v>
                </c:pt>
                <c:pt idx="1">
                  <c:v>500000</c:v>
                </c:pt>
                <c:pt idx="2">
                  <c:v>20000067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1-436B-BA84-BA5485633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Dashboard!A1"/><Relationship Id="rId4" Type="http://schemas.openxmlformats.org/officeDocument/2006/relationships/hyperlink" Target="#Not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95250</xdr:rowOff>
    </xdr:to>
    <xdr:sp macro="" textlink="">
      <xdr:nvSpPr>
        <xdr:cNvPr id="1025" name="AutoShape 1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7DBFF21-E3DE-D5BD-5C92-FC5598AF86E1}"/>
            </a:ext>
          </a:extLst>
        </xdr:cNvPr>
        <xdr:cNvSpPr>
          <a:spLocks noChangeAspect="1" noChangeArrowheads="1"/>
        </xdr:cNvSpPr>
      </xdr:nvSpPr>
      <xdr:spPr bwMode="auto">
        <a:xfrm>
          <a:off x="36480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95250</xdr:rowOff>
    </xdr:to>
    <xdr:sp macro="" textlink="">
      <xdr:nvSpPr>
        <xdr:cNvPr id="102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DE10999-C0F0-2ADE-F0FD-73FFC9E0CBDA}"/>
            </a:ext>
          </a:extLst>
        </xdr:cNvPr>
        <xdr:cNvSpPr>
          <a:spLocks noChangeAspect="1" noChangeArrowheads="1"/>
        </xdr:cNvSpPr>
      </xdr:nvSpPr>
      <xdr:spPr bwMode="auto">
        <a:xfrm>
          <a:off x="36480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147637</xdr:colOff>
      <xdr:row>1</xdr:row>
      <xdr:rowOff>104775</xdr:rowOff>
    </xdr:from>
    <xdr:to>
      <xdr:col>0</xdr:col>
      <xdr:colOff>2319337</xdr:colOff>
      <xdr:row>11</xdr:row>
      <xdr:rowOff>180974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0BCDD27-8AE2-9D44-70D5-631A6907B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" y="295275"/>
          <a:ext cx="2171700" cy="21526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38100</xdr:rowOff>
    </xdr:from>
    <xdr:to>
      <xdr:col>0</xdr:col>
      <xdr:colOff>2428874</xdr:colOff>
      <xdr:row>3</xdr:row>
      <xdr:rowOff>28576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0A32B26-08D1-50BC-A3B3-7732167A87F0}"/>
            </a:ext>
          </a:extLst>
        </xdr:cNvPr>
        <xdr:cNvSpPr/>
      </xdr:nvSpPr>
      <xdr:spPr>
        <a:xfrm>
          <a:off x="0" y="228600"/>
          <a:ext cx="2428874" cy="371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58000">
                    <a:srgbClr val="FFFFFF"/>
                  </a:gs>
                  <a:gs pos="38000">
                    <a:srgbClr val="A6A6A6"/>
                  </a:gs>
                </a:gsLst>
                <a:lin ang="5400000" scaled="0"/>
              </a:gradFill>
              <a:latin typeface="Arial Black" panose="020B0A04020102020204" pitchFamily="34" charset="0"/>
            </a:rPr>
            <a:t>Oikonomia</a:t>
          </a:r>
          <a:endParaRPr lang="pt-BR" sz="2000" b="1">
            <a:gradFill>
              <a:gsLst>
                <a:gs pos="58000">
                  <a:srgbClr val="E0E0E0"/>
                </a:gs>
                <a:gs pos="58000">
                  <a:srgbClr val="FFFFFF"/>
                </a:gs>
                <a:gs pos="38000">
                  <a:srgbClr val="A6A6A6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214312</xdr:colOff>
      <xdr:row>11</xdr:row>
      <xdr:rowOff>47625</xdr:rowOff>
    </xdr:from>
    <xdr:to>
      <xdr:col>0</xdr:col>
      <xdr:colOff>2300288</xdr:colOff>
      <xdr:row>13</xdr:row>
      <xdr:rowOff>142875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F2B044D-FBD0-8B61-025E-045D911B3411}"/>
            </a:ext>
          </a:extLst>
        </xdr:cNvPr>
        <xdr:cNvSpPr/>
      </xdr:nvSpPr>
      <xdr:spPr>
        <a:xfrm>
          <a:off x="214312" y="2314575"/>
          <a:ext cx="2085976" cy="514350"/>
        </a:xfrm>
        <a:prstGeom prst="roundRect">
          <a:avLst>
            <a:gd name="adj" fmla="val 50000"/>
          </a:avLst>
        </a:prstGeom>
        <a:gradFill>
          <a:gsLst>
            <a:gs pos="41000">
              <a:srgbClr val="FFFFFF"/>
            </a:gs>
            <a:gs pos="79000">
              <a:srgbClr val="A6A6A6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Titular</a:t>
          </a:r>
          <a:r>
            <a:rPr lang="pt-BR" sz="1800" b="1">
              <a:latin typeface="Constantia" panose="02030602050306030303" pitchFamily="18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214312</xdr:colOff>
      <xdr:row>14</xdr:row>
      <xdr:rowOff>161925</xdr:rowOff>
    </xdr:from>
    <xdr:to>
      <xdr:col>0</xdr:col>
      <xdr:colOff>2300288</xdr:colOff>
      <xdr:row>17</xdr:row>
      <xdr:rowOff>47625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E74F77-EF86-4C38-A4A4-E4058C0D45B7}"/>
            </a:ext>
          </a:extLst>
        </xdr:cNvPr>
        <xdr:cNvSpPr/>
      </xdr:nvSpPr>
      <xdr:spPr>
        <a:xfrm>
          <a:off x="214312" y="305752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Informes</a:t>
          </a:r>
          <a:endParaRPr lang="pt-BR" sz="1800" b="1">
            <a:latin typeface="Constantia" panose="02030602050306030303" pitchFamily="18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214312</xdr:colOff>
      <xdr:row>18</xdr:row>
      <xdr:rowOff>66675</xdr:rowOff>
    </xdr:from>
    <xdr:to>
      <xdr:col>0</xdr:col>
      <xdr:colOff>2300288</xdr:colOff>
      <xdr:row>20</xdr:row>
      <xdr:rowOff>161925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2AEC9F-E713-4105-9548-263EEE739AC2}"/>
            </a:ext>
          </a:extLst>
        </xdr:cNvPr>
        <xdr:cNvSpPr/>
      </xdr:nvSpPr>
      <xdr:spPr>
        <a:xfrm>
          <a:off x="214312" y="380047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Notas</a:t>
          </a:r>
          <a:r>
            <a:rPr lang="pt-BR" sz="1800" b="1">
              <a:latin typeface="Constantia" panose="02030602050306030303" pitchFamily="18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66675</xdr:colOff>
      <xdr:row>23</xdr:row>
      <xdr:rowOff>38100</xdr:rowOff>
    </xdr:from>
    <xdr:to>
      <xdr:col>1</xdr:col>
      <xdr:colOff>76200</xdr:colOff>
      <xdr:row>26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8204B5-B125-9A4D-702E-28CEC36D7924}"/>
            </a:ext>
          </a:extLst>
        </xdr:cNvPr>
        <xdr:cNvSpPr/>
      </xdr:nvSpPr>
      <xdr:spPr>
        <a:xfrm>
          <a:off x="66675" y="4781550"/>
          <a:ext cx="2438400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SYSTEM BY BRUNO AUGUSTO</a:t>
          </a:r>
        </a:p>
      </xdr:txBody>
    </xdr:sp>
    <xdr:clientData/>
  </xdr:twoCellAnchor>
  <xdr:twoCellAnchor>
    <xdr:from>
      <xdr:col>0</xdr:col>
      <xdr:colOff>228600</xdr:colOff>
      <xdr:row>23</xdr:row>
      <xdr:rowOff>142875</xdr:rowOff>
    </xdr:from>
    <xdr:to>
      <xdr:col>0</xdr:col>
      <xdr:colOff>2295525</xdr:colOff>
      <xdr:row>23</xdr:row>
      <xdr:rowOff>152400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67A76B4E-F2C2-DFEA-1C0C-A3AF61FC13E7}"/>
            </a:ext>
          </a:extLst>
        </xdr:cNvPr>
        <xdr:cNvCxnSpPr/>
      </xdr:nvCxnSpPr>
      <xdr:spPr>
        <a:xfrm flipV="1">
          <a:off x="228600" y="4543425"/>
          <a:ext cx="2066925" cy="952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114300</xdr:rowOff>
    </xdr:to>
    <xdr:sp macro="" textlink="">
      <xdr:nvSpPr>
        <xdr:cNvPr id="15" name="AutoShape 1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F3326EC-546D-4ADC-846E-6CA0B4A9712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142875</xdr:colOff>
      <xdr:row>10</xdr:row>
      <xdr:rowOff>123825</xdr:rowOff>
    </xdr:from>
    <xdr:to>
      <xdr:col>3</xdr:col>
      <xdr:colOff>447675</xdr:colOff>
      <xdr:row>12</xdr:row>
      <xdr:rowOff>28575</xdr:rowOff>
    </xdr:to>
    <xdr:sp macro="" textlink="">
      <xdr:nvSpPr>
        <xdr:cNvPr id="1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FECB8E8-1CF0-408B-95B3-7B1F6807C49A}"/>
            </a:ext>
          </a:extLst>
        </xdr:cNvPr>
        <xdr:cNvSpPr>
          <a:spLocks noChangeAspect="1" noChangeArrowheads="1"/>
        </xdr:cNvSpPr>
      </xdr:nvSpPr>
      <xdr:spPr bwMode="auto">
        <a:xfrm>
          <a:off x="6019800" y="1609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9525</xdr:colOff>
      <xdr:row>23</xdr:row>
      <xdr:rowOff>0</xdr:rowOff>
    </xdr:from>
    <xdr:to>
      <xdr:col>4</xdr:col>
      <xdr:colOff>38100</xdr:colOff>
      <xdr:row>25</xdr:row>
      <xdr:rowOff>19050</xdr:rowOff>
    </xdr:to>
    <xdr:sp macro="" textlink="">
      <xdr:nvSpPr>
        <xdr:cNvPr id="21" name="Retângulo: Cantos Arredondados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8C4826-EF4F-E1FE-D52E-3395A5A98838}"/>
            </a:ext>
          </a:extLst>
        </xdr:cNvPr>
        <xdr:cNvSpPr/>
      </xdr:nvSpPr>
      <xdr:spPr>
        <a:xfrm>
          <a:off x="5886450" y="4743450"/>
          <a:ext cx="3695700" cy="400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95250</xdr:rowOff>
    </xdr:to>
    <xdr:sp macro="" textlink="">
      <xdr:nvSpPr>
        <xdr:cNvPr id="2" name="AutoShape 1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7F8E89A-B9F9-4134-9526-5A9C60E2454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95250</xdr:rowOff>
    </xdr:to>
    <xdr:sp macro="" textlink="">
      <xdr:nvSpPr>
        <xdr:cNvPr id="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118926D-6DF3-4E73-982A-DE669B1A94D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147637</xdr:colOff>
      <xdr:row>1</xdr:row>
      <xdr:rowOff>104775</xdr:rowOff>
    </xdr:from>
    <xdr:to>
      <xdr:col>0</xdr:col>
      <xdr:colOff>2319337</xdr:colOff>
      <xdr:row>12</xdr:row>
      <xdr:rowOff>28574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0F96095-7DE0-4E58-8974-B7FE2A8DC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" y="295275"/>
          <a:ext cx="2171700" cy="21526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38100</xdr:rowOff>
    </xdr:from>
    <xdr:to>
      <xdr:col>0</xdr:col>
      <xdr:colOff>2428874</xdr:colOff>
      <xdr:row>3</xdr:row>
      <xdr:rowOff>28576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4906EE3-6863-45D8-8616-647D68FA636B}"/>
            </a:ext>
          </a:extLst>
        </xdr:cNvPr>
        <xdr:cNvSpPr/>
      </xdr:nvSpPr>
      <xdr:spPr>
        <a:xfrm>
          <a:off x="0" y="228600"/>
          <a:ext cx="2428874" cy="371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58000">
                    <a:srgbClr val="FFFFFF"/>
                  </a:gs>
                  <a:gs pos="38000">
                    <a:srgbClr val="A6A6A6"/>
                  </a:gs>
                </a:gsLst>
                <a:lin ang="5400000" scaled="0"/>
              </a:gradFill>
              <a:latin typeface="Arial Black" panose="020B0A04020102020204" pitchFamily="34" charset="0"/>
            </a:rPr>
            <a:t>Oikonomia</a:t>
          </a:r>
          <a:endParaRPr lang="pt-BR" sz="2000" b="1">
            <a:gradFill>
              <a:gsLst>
                <a:gs pos="58000">
                  <a:srgbClr val="FFFFFF"/>
                </a:gs>
                <a:gs pos="38000">
                  <a:srgbClr val="A6A6A6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214312</xdr:colOff>
      <xdr:row>11</xdr:row>
      <xdr:rowOff>85725</xdr:rowOff>
    </xdr:from>
    <xdr:to>
      <xdr:col>0</xdr:col>
      <xdr:colOff>2300288</xdr:colOff>
      <xdr:row>14</xdr:row>
      <xdr:rowOff>9525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8F8B3C-78FB-4A46-AC80-CC847C6C8A17}"/>
            </a:ext>
          </a:extLst>
        </xdr:cNvPr>
        <xdr:cNvSpPr/>
      </xdr:nvSpPr>
      <xdr:spPr>
        <a:xfrm>
          <a:off x="214312" y="231457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Titular</a:t>
          </a:r>
          <a:r>
            <a:rPr lang="pt-BR" sz="1800" b="1">
              <a:latin typeface="Constantia" panose="02030602050306030303" pitchFamily="18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214312</xdr:colOff>
      <xdr:row>15</xdr:row>
      <xdr:rowOff>28575</xdr:rowOff>
    </xdr:from>
    <xdr:to>
      <xdr:col>0</xdr:col>
      <xdr:colOff>2300288</xdr:colOff>
      <xdr:row>17</xdr:row>
      <xdr:rowOff>123825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24BE16-5DBE-450A-B805-1E1C2C7F504B}"/>
            </a:ext>
          </a:extLst>
        </xdr:cNvPr>
        <xdr:cNvSpPr/>
      </xdr:nvSpPr>
      <xdr:spPr>
        <a:xfrm>
          <a:off x="214312" y="3057525"/>
          <a:ext cx="2085976" cy="514350"/>
        </a:xfrm>
        <a:prstGeom prst="roundRect">
          <a:avLst>
            <a:gd name="adj" fmla="val 50000"/>
          </a:avLst>
        </a:prstGeom>
        <a:gradFill>
          <a:gsLst>
            <a:gs pos="41000">
              <a:srgbClr val="FFFFFF"/>
            </a:gs>
            <a:gs pos="79000">
              <a:srgbClr val="A6A6A6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214312</xdr:colOff>
      <xdr:row>18</xdr:row>
      <xdr:rowOff>161925</xdr:rowOff>
    </xdr:from>
    <xdr:to>
      <xdr:col>0</xdr:col>
      <xdr:colOff>2300288</xdr:colOff>
      <xdr:row>21</xdr:row>
      <xdr:rowOff>85725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D75ECD-AF3F-44A3-A91F-BA2D003951B6}"/>
            </a:ext>
          </a:extLst>
        </xdr:cNvPr>
        <xdr:cNvSpPr/>
      </xdr:nvSpPr>
      <xdr:spPr>
        <a:xfrm>
          <a:off x="214312" y="380047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Notas</a:t>
          </a:r>
          <a:r>
            <a:rPr lang="pt-BR" sz="1800" b="1">
              <a:latin typeface="Constantia" panose="02030602050306030303" pitchFamily="18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66675</xdr:colOff>
      <xdr:row>23</xdr:row>
      <xdr:rowOff>133350</xdr:rowOff>
    </xdr:from>
    <xdr:to>
      <xdr:col>1</xdr:col>
      <xdr:colOff>76200</xdr:colOff>
      <xdr:row>26</xdr:row>
      <xdr:rowOff>180975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40D38513-3BC3-40C3-A698-0507CBE6ECB9}"/>
            </a:ext>
          </a:extLst>
        </xdr:cNvPr>
        <xdr:cNvSpPr/>
      </xdr:nvSpPr>
      <xdr:spPr>
        <a:xfrm>
          <a:off x="66675" y="4781550"/>
          <a:ext cx="2438400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SYSTEM BY BRUNO AUGUSTO</a:t>
          </a:r>
        </a:p>
      </xdr:txBody>
    </xdr:sp>
    <xdr:clientData/>
  </xdr:twoCellAnchor>
  <xdr:twoCellAnchor>
    <xdr:from>
      <xdr:col>0</xdr:col>
      <xdr:colOff>228600</xdr:colOff>
      <xdr:row>23</xdr:row>
      <xdr:rowOff>142875</xdr:rowOff>
    </xdr:from>
    <xdr:to>
      <xdr:col>0</xdr:col>
      <xdr:colOff>2295525</xdr:colOff>
      <xdr:row>23</xdr:row>
      <xdr:rowOff>152400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E2949C2D-5D80-4E5C-86D3-53B387BA5BAA}"/>
            </a:ext>
          </a:extLst>
        </xdr:cNvPr>
        <xdr:cNvCxnSpPr/>
      </xdr:nvCxnSpPr>
      <xdr:spPr>
        <a:xfrm flipV="1">
          <a:off x="228600" y="4886325"/>
          <a:ext cx="2066925" cy="952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114300</xdr:rowOff>
    </xdr:to>
    <xdr:sp macro="" textlink="">
      <xdr:nvSpPr>
        <xdr:cNvPr id="11" name="AutoShape 1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28952AE-B1FD-42BC-8826-D22B5DAE634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33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142875</xdr:colOff>
      <xdr:row>15</xdr:row>
      <xdr:rowOff>123825</xdr:rowOff>
    </xdr:from>
    <xdr:to>
      <xdr:col>3</xdr:col>
      <xdr:colOff>447675</xdr:colOff>
      <xdr:row>17</xdr:row>
      <xdr:rowOff>28575</xdr:rowOff>
    </xdr:to>
    <xdr:sp macro="" textlink="">
      <xdr:nvSpPr>
        <xdr:cNvPr id="1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600D2C9-3269-4886-ACE4-F194458F5988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19049</xdr:colOff>
      <xdr:row>31</xdr:row>
      <xdr:rowOff>19050</xdr:rowOff>
    </xdr:from>
    <xdr:to>
      <xdr:col>3</xdr:col>
      <xdr:colOff>3609974</xdr:colOff>
      <xdr:row>33</xdr:row>
      <xdr:rowOff>38100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B4C708-0248-4F7E-A88E-F4ACB521DD86}"/>
            </a:ext>
          </a:extLst>
        </xdr:cNvPr>
        <xdr:cNvSpPr/>
      </xdr:nvSpPr>
      <xdr:spPr>
        <a:xfrm>
          <a:off x="5895974" y="6248400"/>
          <a:ext cx="3590925" cy="400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&gt;&gt;</a:t>
          </a:r>
        </a:p>
      </xdr:txBody>
    </xdr:sp>
    <xdr:clientData/>
  </xdr:two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71F8B0B-222D-4234-8666-EC5CE9E2D003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21</xdr:row>
      <xdr:rowOff>123825</xdr:rowOff>
    </xdr:from>
    <xdr:ext cx="304800" cy="323850"/>
    <xdr:sp macro="" textlink="">
      <xdr:nvSpPr>
        <xdr:cNvPr id="1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7C73291-F16F-43C7-BE66-6CF298F00465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D1DC038-087E-43B9-A0F4-AE47CE15E96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27</xdr:row>
      <xdr:rowOff>123825</xdr:rowOff>
    </xdr:from>
    <xdr:ext cx="304800" cy="323850"/>
    <xdr:sp macro="" textlink="">
      <xdr:nvSpPr>
        <xdr:cNvPr id="1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20B296C-B03D-4560-A143-06BF77FBC483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4194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1</xdr:colOff>
      <xdr:row>31</xdr:row>
      <xdr:rowOff>19050</xdr:rowOff>
    </xdr:from>
    <xdr:to>
      <xdr:col>2</xdr:col>
      <xdr:colOff>2819401</xdr:colOff>
      <xdr:row>33</xdr:row>
      <xdr:rowOff>47625</xdr:rowOff>
    </xdr:to>
    <xdr:sp macro="" textlink="">
      <xdr:nvSpPr>
        <xdr:cNvPr id="18" name="Retângulo: Cantos Arredondados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800092-9415-4FAB-B229-89A5F164F794}"/>
            </a:ext>
          </a:extLst>
        </xdr:cNvPr>
        <xdr:cNvSpPr/>
      </xdr:nvSpPr>
      <xdr:spPr>
        <a:xfrm>
          <a:off x="3038476" y="6248400"/>
          <a:ext cx="2819400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&lt;&lt;Anterior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95250</xdr:rowOff>
    </xdr:to>
    <xdr:sp macro="" textlink="">
      <xdr:nvSpPr>
        <xdr:cNvPr id="2" name="AutoShape 1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188DE54-31BC-4AEB-A40F-AFBA20EDD5A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9797622-32DC-4173-AC96-504CF0FD269F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147637</xdr:colOff>
      <xdr:row>1</xdr:row>
      <xdr:rowOff>104775</xdr:rowOff>
    </xdr:from>
    <xdr:to>
      <xdr:col>0</xdr:col>
      <xdr:colOff>2319337</xdr:colOff>
      <xdr:row>11</xdr:row>
      <xdr:rowOff>200024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CD8FE0F-FD3B-4FF1-84E8-232D01C26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" y="295275"/>
          <a:ext cx="2171700" cy="21526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38100</xdr:rowOff>
    </xdr:from>
    <xdr:to>
      <xdr:col>0</xdr:col>
      <xdr:colOff>2428874</xdr:colOff>
      <xdr:row>3</xdr:row>
      <xdr:rowOff>28576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DDA7B535-E29D-47E3-A2AC-19A5771CDC72}"/>
            </a:ext>
          </a:extLst>
        </xdr:cNvPr>
        <xdr:cNvSpPr/>
      </xdr:nvSpPr>
      <xdr:spPr>
        <a:xfrm>
          <a:off x="0" y="228600"/>
          <a:ext cx="2428874" cy="371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58000">
                    <a:srgbClr val="FFFFFF"/>
                  </a:gs>
                  <a:gs pos="38000">
                    <a:srgbClr val="A6A6A6"/>
                  </a:gs>
                </a:gsLst>
                <a:lin ang="5400000" scaled="0"/>
              </a:gradFill>
              <a:latin typeface="Arial Black" panose="020B0A04020102020204" pitchFamily="34" charset="0"/>
            </a:rPr>
            <a:t>Oikonomia</a:t>
          </a:r>
          <a:endParaRPr lang="pt-BR" sz="2000" b="1">
            <a:gradFill>
              <a:gsLst>
                <a:gs pos="58000">
                  <a:srgbClr val="FFFFFF"/>
                </a:gs>
                <a:gs pos="38000">
                  <a:srgbClr val="A6A6A6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214312</xdr:colOff>
      <xdr:row>11</xdr:row>
      <xdr:rowOff>66675</xdr:rowOff>
    </xdr:from>
    <xdr:to>
      <xdr:col>0</xdr:col>
      <xdr:colOff>2300288</xdr:colOff>
      <xdr:row>13</xdr:row>
      <xdr:rowOff>161925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1B9466-4B11-4256-9018-F9A38C2ADFA6}"/>
            </a:ext>
          </a:extLst>
        </xdr:cNvPr>
        <xdr:cNvSpPr/>
      </xdr:nvSpPr>
      <xdr:spPr>
        <a:xfrm>
          <a:off x="214312" y="231457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Titular</a:t>
          </a:r>
          <a:r>
            <a:rPr lang="pt-BR" sz="1800" b="1">
              <a:latin typeface="Constantia" panose="02030602050306030303" pitchFamily="18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214312</xdr:colOff>
      <xdr:row>14</xdr:row>
      <xdr:rowOff>180975</xdr:rowOff>
    </xdr:from>
    <xdr:to>
      <xdr:col>0</xdr:col>
      <xdr:colOff>2300288</xdr:colOff>
      <xdr:row>17</xdr:row>
      <xdr:rowOff>66675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680964-CFFC-4F3D-AD33-328E55B9F3E0}"/>
            </a:ext>
          </a:extLst>
        </xdr:cNvPr>
        <xdr:cNvSpPr/>
      </xdr:nvSpPr>
      <xdr:spPr>
        <a:xfrm>
          <a:off x="214312" y="305752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Informes</a:t>
          </a:r>
          <a:endParaRPr lang="pt-BR" sz="1800" b="1">
            <a:latin typeface="Constantia" panose="02030602050306030303" pitchFamily="18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214312</xdr:colOff>
      <xdr:row>18</xdr:row>
      <xdr:rowOff>85725</xdr:rowOff>
    </xdr:from>
    <xdr:to>
      <xdr:col>0</xdr:col>
      <xdr:colOff>2300288</xdr:colOff>
      <xdr:row>20</xdr:row>
      <xdr:rowOff>180975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6280CDD-732D-4E86-AF4D-003B9A6D8261}"/>
            </a:ext>
          </a:extLst>
        </xdr:cNvPr>
        <xdr:cNvSpPr/>
      </xdr:nvSpPr>
      <xdr:spPr>
        <a:xfrm>
          <a:off x="214312" y="3800475"/>
          <a:ext cx="2085976" cy="514350"/>
        </a:xfrm>
        <a:prstGeom prst="roundRect">
          <a:avLst>
            <a:gd name="adj" fmla="val 50000"/>
          </a:avLst>
        </a:prstGeom>
        <a:gradFill>
          <a:gsLst>
            <a:gs pos="41000">
              <a:srgbClr val="FFFFFF"/>
            </a:gs>
            <a:gs pos="79000">
              <a:srgbClr val="A6A6A6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ea typeface="+mn-ea"/>
              <a:cs typeface="Segoe UI Light" panose="020B0502040204020203" pitchFamily="34" charset="0"/>
            </a:rPr>
            <a:t>Notas </a:t>
          </a:r>
        </a:p>
      </xdr:txBody>
    </xdr:sp>
    <xdr:clientData/>
  </xdr:twoCellAnchor>
  <xdr:twoCellAnchor editAs="absolute">
    <xdr:from>
      <xdr:col>0</xdr:col>
      <xdr:colOff>66675</xdr:colOff>
      <xdr:row>23</xdr:row>
      <xdr:rowOff>57150</xdr:rowOff>
    </xdr:from>
    <xdr:to>
      <xdr:col>1</xdr:col>
      <xdr:colOff>76200</xdr:colOff>
      <xdr:row>26</xdr:row>
      <xdr:rowOff>104775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B9E41CA1-258A-4160-8A09-7438AAFE6A7F}"/>
            </a:ext>
          </a:extLst>
        </xdr:cNvPr>
        <xdr:cNvSpPr/>
      </xdr:nvSpPr>
      <xdr:spPr>
        <a:xfrm>
          <a:off x="66675" y="4781550"/>
          <a:ext cx="2438400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SYSTEM BY BRUNO AUGUSTO</a:t>
          </a:r>
        </a:p>
      </xdr:txBody>
    </xdr:sp>
    <xdr:clientData/>
  </xdr:twoCellAnchor>
  <xdr:twoCellAnchor>
    <xdr:from>
      <xdr:col>0</xdr:col>
      <xdr:colOff>228600</xdr:colOff>
      <xdr:row>23</xdr:row>
      <xdr:rowOff>142875</xdr:rowOff>
    </xdr:from>
    <xdr:to>
      <xdr:col>0</xdr:col>
      <xdr:colOff>2295525</xdr:colOff>
      <xdr:row>23</xdr:row>
      <xdr:rowOff>152400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C734313-72BF-45AA-81AD-5EC2645210F9}"/>
            </a:ext>
          </a:extLst>
        </xdr:cNvPr>
        <xdr:cNvCxnSpPr/>
      </xdr:nvCxnSpPr>
      <xdr:spPr>
        <a:xfrm flipV="1">
          <a:off x="228600" y="4886325"/>
          <a:ext cx="2066925" cy="952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114300</xdr:rowOff>
    </xdr:to>
    <xdr:sp macro="" textlink="">
      <xdr:nvSpPr>
        <xdr:cNvPr id="11" name="AutoShape 1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758BE75-74B8-440F-A9D6-419BC9229B7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33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142875</xdr:colOff>
      <xdr:row>10</xdr:row>
      <xdr:rowOff>123825</xdr:rowOff>
    </xdr:from>
    <xdr:to>
      <xdr:col>3</xdr:col>
      <xdr:colOff>447675</xdr:colOff>
      <xdr:row>12</xdr:row>
      <xdr:rowOff>47625</xdr:rowOff>
    </xdr:to>
    <xdr:sp macro="" textlink="">
      <xdr:nvSpPr>
        <xdr:cNvPr id="1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AAFCAEC-AF07-40D1-A26F-1F3944453DB9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209550</xdr:colOff>
      <xdr:row>9</xdr:row>
      <xdr:rowOff>0</xdr:rowOff>
    </xdr:from>
    <xdr:to>
      <xdr:col>11</xdr:col>
      <xdr:colOff>247650</xdr:colOff>
      <xdr:row>11</xdr:row>
      <xdr:rowOff>38100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EDDA22-CAAB-43CB-B684-BE07E4A707EA}"/>
            </a:ext>
          </a:extLst>
        </xdr:cNvPr>
        <xdr:cNvSpPr/>
      </xdr:nvSpPr>
      <xdr:spPr>
        <a:xfrm>
          <a:off x="10553700" y="1847850"/>
          <a:ext cx="3695700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&lt;&lt;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DED6057-25E1-459F-B51F-F6EC95737D0F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10</xdr:row>
      <xdr:rowOff>123825</xdr:rowOff>
    </xdr:from>
    <xdr:ext cx="304800" cy="323850"/>
    <xdr:sp macro="" textlink="">
      <xdr:nvSpPr>
        <xdr:cNvPr id="1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9B2F23A-20E4-4806-8FBE-A70C0945A254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E0E7CC4-0294-41EA-8348-46A43DD0EE2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11</xdr:row>
      <xdr:rowOff>123825</xdr:rowOff>
    </xdr:from>
    <xdr:ext cx="304800" cy="323850"/>
    <xdr:sp macro="" textlink="">
      <xdr:nvSpPr>
        <xdr:cNvPr id="1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60816BB-9E77-4CC8-975D-214883030079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D826B81-961D-466C-BD00-7D0D45BAA13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11</xdr:row>
      <xdr:rowOff>123825</xdr:rowOff>
    </xdr:from>
    <xdr:ext cx="304800" cy="323850"/>
    <xdr:sp macro="" textlink="">
      <xdr:nvSpPr>
        <xdr:cNvPr id="1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580FEA7-53D9-409F-92E0-C5E70826A1CB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2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C3324DA-697A-435E-BACD-F9BC02FEE67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12</xdr:row>
      <xdr:rowOff>123825</xdr:rowOff>
    </xdr:from>
    <xdr:ext cx="304800" cy="323850"/>
    <xdr:sp macro="" textlink="">
      <xdr:nvSpPr>
        <xdr:cNvPr id="2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4A4939F-94F6-4685-8F35-1CF217B2D04B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2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9641A76-2D38-4533-B76F-7684C7E543D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12</xdr:row>
      <xdr:rowOff>123825</xdr:rowOff>
    </xdr:from>
    <xdr:ext cx="304800" cy="323850"/>
    <xdr:sp macro="" textlink="">
      <xdr:nvSpPr>
        <xdr:cNvPr id="2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1D8508F-D32B-4865-8A95-DEC9327B2909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D807846-B47D-4365-B3FE-CC4BA22E876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A8EC70B-C611-44C4-AEE8-C00BFF5D2AF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094BB2C-D598-4436-B5BB-6E3B8D24D3D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13</xdr:row>
      <xdr:rowOff>123825</xdr:rowOff>
    </xdr:from>
    <xdr:ext cx="304800" cy="323850"/>
    <xdr:sp macro="" textlink="">
      <xdr:nvSpPr>
        <xdr:cNvPr id="2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C67307E-61E9-47DA-A983-A29536AFF2A5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CF95EC4-826A-415F-A18D-C4DD75420A5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13</xdr:row>
      <xdr:rowOff>123825</xdr:rowOff>
    </xdr:from>
    <xdr:ext cx="304800" cy="323850"/>
    <xdr:sp macro="" textlink="">
      <xdr:nvSpPr>
        <xdr:cNvPr id="2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5A6054C-DAEE-4E98-8D5D-04C46268943A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F66FB7B-66D2-4922-83A5-67F6BDC3C19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F7CF529-B568-4E9C-A701-BA02CAFC097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BFFE3D1-CB72-45B5-AE1F-F9A4BC8E9BF2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14</xdr:row>
      <xdr:rowOff>123825</xdr:rowOff>
    </xdr:from>
    <xdr:ext cx="304800" cy="323850"/>
    <xdr:sp macro="" textlink="">
      <xdr:nvSpPr>
        <xdr:cNvPr id="3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A5BC85B-3B87-4701-AF9D-81FC48CCA8B1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28496F6-E75E-4C13-9785-287005C70FE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14</xdr:row>
      <xdr:rowOff>123825</xdr:rowOff>
    </xdr:from>
    <xdr:ext cx="304800" cy="323850"/>
    <xdr:sp macro="" textlink="">
      <xdr:nvSpPr>
        <xdr:cNvPr id="3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01B1F3A-E190-4512-9245-F04A7AD97621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3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F633EB5-064D-492A-9EB4-094857BA03F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3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F1A1844-D3C4-421C-9E7D-8609258BEA13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3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9D81B4F-E1B8-41CD-82B1-49E2DE308E8F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15</xdr:row>
      <xdr:rowOff>123825</xdr:rowOff>
    </xdr:from>
    <xdr:ext cx="304800" cy="323850"/>
    <xdr:sp macro="" textlink="">
      <xdr:nvSpPr>
        <xdr:cNvPr id="3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4E77166-D038-4130-957F-975DB4A6B174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4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09ACBA4-C16D-444D-96E9-65C80A8AA1CD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15</xdr:row>
      <xdr:rowOff>123825</xdr:rowOff>
    </xdr:from>
    <xdr:ext cx="304800" cy="323850"/>
    <xdr:sp macro="" textlink="">
      <xdr:nvSpPr>
        <xdr:cNvPr id="4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545397F-AB4E-471B-8CCD-5C9B829C2CCB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72807EC-D732-450A-98E0-6BF6101D413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F1B9A15-EE7A-4CB2-B1CD-9D88FF0332B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2A679D8-615F-4F93-A726-D1243A7265A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16</xdr:row>
      <xdr:rowOff>123825</xdr:rowOff>
    </xdr:from>
    <xdr:ext cx="304800" cy="323850"/>
    <xdr:sp macro="" textlink="">
      <xdr:nvSpPr>
        <xdr:cNvPr id="4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AE0606E-0351-4C30-94B7-D6C51925B923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7F9B276-91D8-41D3-B6D9-3622CEF4040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16</xdr:row>
      <xdr:rowOff>123825</xdr:rowOff>
    </xdr:from>
    <xdr:ext cx="304800" cy="323850"/>
    <xdr:sp macro="" textlink="">
      <xdr:nvSpPr>
        <xdr:cNvPr id="4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38F8E95-0D5C-4D43-B1FC-E27A91F3C35F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4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1534EEB-3268-48AE-92B1-58945B83A44E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4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6F118BF-6C72-4304-B316-14A7E0303DD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C91FCB7-0D6F-4E28-8ECE-FD33988FDCC3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17</xdr:row>
      <xdr:rowOff>123825</xdr:rowOff>
    </xdr:from>
    <xdr:ext cx="304800" cy="323850"/>
    <xdr:sp macro="" textlink="">
      <xdr:nvSpPr>
        <xdr:cNvPr id="5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180B8D5-C1C4-4EF6-BF57-5A6646C16BDA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28D6A11-34B4-468D-8855-3B7B014433B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17</xdr:row>
      <xdr:rowOff>123825</xdr:rowOff>
    </xdr:from>
    <xdr:ext cx="304800" cy="323850"/>
    <xdr:sp macro="" textlink="">
      <xdr:nvSpPr>
        <xdr:cNvPr id="5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8111ACD-1D84-402D-9EDB-20855CAC183F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4C5C70B-38A1-4137-A8BB-0EEED6419BB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9168145-9701-45AC-89C9-D3DF30930ABE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266D6E7-B858-4861-A164-95F507F4F4D4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18</xdr:row>
      <xdr:rowOff>123825</xdr:rowOff>
    </xdr:from>
    <xdr:ext cx="304800" cy="323850"/>
    <xdr:sp macro="" textlink="">
      <xdr:nvSpPr>
        <xdr:cNvPr id="5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DCFEB82-BEE0-49CB-99FA-BACAB95555C7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7858F7E-FB90-4ACF-A416-A50A58A6119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18</xdr:row>
      <xdr:rowOff>123825</xdr:rowOff>
    </xdr:from>
    <xdr:ext cx="304800" cy="323850"/>
    <xdr:sp macro="" textlink="">
      <xdr:nvSpPr>
        <xdr:cNvPr id="5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4A257C2-130A-4CEC-AD3E-47FA048CC955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8149B2B-F3C5-42D6-9472-DDBD890284B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A391593-A9F3-4A87-AABA-B6B681D0E4D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34FFD49-6F89-4D23-BBAB-41B9BCB84D7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19</xdr:row>
      <xdr:rowOff>123825</xdr:rowOff>
    </xdr:from>
    <xdr:ext cx="304800" cy="323850"/>
    <xdr:sp macro="" textlink="">
      <xdr:nvSpPr>
        <xdr:cNvPr id="6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BC9AC69-0A7B-452A-8CCC-04B292D10B17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0A253FA-ED4B-4C7F-9434-E8BBE1CEB22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19</xdr:row>
      <xdr:rowOff>123825</xdr:rowOff>
    </xdr:from>
    <xdr:ext cx="304800" cy="323850"/>
    <xdr:sp macro="" textlink="">
      <xdr:nvSpPr>
        <xdr:cNvPr id="6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43A8B50-E1AD-4E24-B3F8-9A0961654ED0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6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B5E143B-1546-4994-8096-F7482438D68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6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4DDDE0C-2B20-46BB-811C-59A0A8BC439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6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0BB87E5-C452-4FCC-B9D7-7D15D419A4E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20</xdr:row>
      <xdr:rowOff>123825</xdr:rowOff>
    </xdr:from>
    <xdr:ext cx="304800" cy="323850"/>
    <xdr:sp macro="" textlink="">
      <xdr:nvSpPr>
        <xdr:cNvPr id="6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F57854F-28A5-467A-BF3B-42B8E105CB6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7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F6B4DBE-F670-43FB-95D8-6C5A0789120F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20</xdr:row>
      <xdr:rowOff>123825</xdr:rowOff>
    </xdr:from>
    <xdr:ext cx="304800" cy="323850"/>
    <xdr:sp macro="" textlink="">
      <xdr:nvSpPr>
        <xdr:cNvPr id="7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D52DE69-742B-47E7-8ABB-BC41F098CF4F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7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9ACE6F4-087C-46E6-A852-3358482FDE4E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7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CCF3934-9CB7-4016-A3A1-18ED23C9FE4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7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875DFC8-4E10-4CB6-896D-6312AB4FDC5F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21</xdr:row>
      <xdr:rowOff>123825</xdr:rowOff>
    </xdr:from>
    <xdr:ext cx="304800" cy="323850"/>
    <xdr:sp macro="" textlink="">
      <xdr:nvSpPr>
        <xdr:cNvPr id="7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C2F01C8-0F11-4B93-A5E0-0FE752F3A955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7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7BBB274-B372-4060-86B0-FD2252D9531F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21</xdr:row>
      <xdr:rowOff>123825</xdr:rowOff>
    </xdr:from>
    <xdr:ext cx="304800" cy="323850"/>
    <xdr:sp macro="" textlink="">
      <xdr:nvSpPr>
        <xdr:cNvPr id="7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85E7B66-27DD-4064-B1E8-C0BE21BF6F8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7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D8D0D13-E28F-49E3-8E17-C46F784E633D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7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A027DDC-46BB-4967-9687-7ECAE79CBA92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8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5A5F94A-B175-4045-9633-F5D3E9308CE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22</xdr:row>
      <xdr:rowOff>123825</xdr:rowOff>
    </xdr:from>
    <xdr:ext cx="304800" cy="323850"/>
    <xdr:sp macro="" textlink="">
      <xdr:nvSpPr>
        <xdr:cNvPr id="8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3A7F75A-7883-47EF-ACBB-C9C19B6ABC7B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8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BE0DDB6-C7D2-49B5-9A71-C2534AA6CFB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22</xdr:row>
      <xdr:rowOff>123825</xdr:rowOff>
    </xdr:from>
    <xdr:ext cx="304800" cy="323850"/>
    <xdr:sp macro="" textlink="">
      <xdr:nvSpPr>
        <xdr:cNvPr id="8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E16D57F-E20A-4F39-ABD2-018DBA03471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0F1D848-7B85-4B63-8034-319255D053D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B5BB265-9282-4CAC-8384-CA9D6A19DE74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0F7E63F-F205-4DDD-A141-927F13F5A6F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23</xdr:row>
      <xdr:rowOff>123825</xdr:rowOff>
    </xdr:from>
    <xdr:ext cx="304800" cy="323850"/>
    <xdr:sp macro="" textlink="">
      <xdr:nvSpPr>
        <xdr:cNvPr id="8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3FE3CB7-7720-4C93-9D65-61DF5F185E4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3A277E4-B9BD-4FBA-B5CF-9D9C548370C4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23</xdr:row>
      <xdr:rowOff>123825</xdr:rowOff>
    </xdr:from>
    <xdr:ext cx="304800" cy="323850"/>
    <xdr:sp macro="" textlink="">
      <xdr:nvSpPr>
        <xdr:cNvPr id="8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69D9207-CDA4-4461-AF23-36F1E12DC2E8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9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615116E-D9CC-40AE-B5C9-801ED7F8FB3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9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67D8188-EBEE-49E9-A118-6017CBE3289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9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7085A5F-79A5-4280-8FFA-4E1B4B50DF2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24</xdr:row>
      <xdr:rowOff>123825</xdr:rowOff>
    </xdr:from>
    <xdr:ext cx="304800" cy="323850"/>
    <xdr:sp macro="" textlink="">
      <xdr:nvSpPr>
        <xdr:cNvPr id="9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04702D3-41D0-4669-A8C3-361956253420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9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13D8F54-B7EF-4EFF-8DFC-B6F0405B1F4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24</xdr:row>
      <xdr:rowOff>123825</xdr:rowOff>
    </xdr:from>
    <xdr:ext cx="304800" cy="323850"/>
    <xdr:sp macro="" textlink="">
      <xdr:nvSpPr>
        <xdr:cNvPr id="9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150AF84-9BC7-4795-BDAD-4D13779E6FC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9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7D2445E-9106-4DDF-BE35-B67F1E00A75D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9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5D9EB74-08A7-43BF-A0FB-A516676DA37F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9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317348C-4BE7-4AC7-95DE-FF6DD9D4ECF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25</xdr:row>
      <xdr:rowOff>123825</xdr:rowOff>
    </xdr:from>
    <xdr:ext cx="304800" cy="323850"/>
    <xdr:sp macro="" textlink="">
      <xdr:nvSpPr>
        <xdr:cNvPr id="9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4CE10FE-D678-4F29-925E-37E713DB85DC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0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949CB05-CF72-429D-8B2C-51F8CD59ABA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25</xdr:row>
      <xdr:rowOff>123825</xdr:rowOff>
    </xdr:from>
    <xdr:ext cx="304800" cy="323850"/>
    <xdr:sp macro="" textlink="">
      <xdr:nvSpPr>
        <xdr:cNvPr id="10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56D5C15-5D81-4F16-89E9-B27330DBDE48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7FF8925-0E39-4924-B3D1-40D3537DE4D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67AAF43-2EEE-4CB5-8CCB-45EAB15BA37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08764A3-95A8-4540-8CE1-80D5014E3D7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26</xdr:row>
      <xdr:rowOff>123825</xdr:rowOff>
    </xdr:from>
    <xdr:ext cx="304800" cy="323850"/>
    <xdr:sp macro="" textlink="">
      <xdr:nvSpPr>
        <xdr:cNvPr id="10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CC69C1B-64FF-4C5B-8C3A-BF9032A1C9F0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CCAABF5-64E5-4C18-A4AB-E0E80C7F950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26</xdr:row>
      <xdr:rowOff>123825</xdr:rowOff>
    </xdr:from>
    <xdr:ext cx="304800" cy="323850"/>
    <xdr:sp macro="" textlink="">
      <xdr:nvSpPr>
        <xdr:cNvPr id="10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74CE5A2-899C-4EF5-9828-0C1F1BE8A7E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0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BB055F5-3F70-4CF1-B40C-BBE75B3B168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0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AE35C65-8C22-44D9-86D5-BFC8A481EBB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1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3D3832D-AB0B-4337-B791-C8A27929C77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27</xdr:row>
      <xdr:rowOff>123825</xdr:rowOff>
    </xdr:from>
    <xdr:ext cx="304800" cy="323850"/>
    <xdr:sp macro="" textlink="">
      <xdr:nvSpPr>
        <xdr:cNvPr id="11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D57328D-8CD6-4801-B41D-15917305FB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1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5F93ED5-F524-4EDE-BEBF-7C121CEB1FB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27</xdr:row>
      <xdr:rowOff>123825</xdr:rowOff>
    </xdr:from>
    <xdr:ext cx="304800" cy="323850"/>
    <xdr:sp macro="" textlink="">
      <xdr:nvSpPr>
        <xdr:cNvPr id="11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C94028F-2FA9-43C6-8468-B11565317CCC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1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A62BE90-A9AE-4DE9-B141-FEA1CEBE6453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1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BD3944C-A3EE-4CE3-987E-7D707036BD1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1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661CBE2-1B7E-43F7-A7B2-20536284BDD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28</xdr:row>
      <xdr:rowOff>123825</xdr:rowOff>
    </xdr:from>
    <xdr:ext cx="304800" cy="323850"/>
    <xdr:sp macro="" textlink="">
      <xdr:nvSpPr>
        <xdr:cNvPr id="11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7D555EF-DC4B-4549-BB16-FF54047C687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1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797ECE4-E360-448A-8C12-8A32935DCB0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28</xdr:row>
      <xdr:rowOff>123825</xdr:rowOff>
    </xdr:from>
    <xdr:ext cx="304800" cy="323850"/>
    <xdr:sp macro="" textlink="">
      <xdr:nvSpPr>
        <xdr:cNvPr id="11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1A772CC-F00F-4841-9AF6-DBB78EE8FDD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2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1EB893F-1F95-4E57-9A3F-874B593B4CB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2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3DD671A-C05F-491C-AB7F-724173F8A612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12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42F5A9B-0C6A-47FF-ADAE-B76E99B93B7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142875</xdr:colOff>
      <xdr:row>0</xdr:row>
      <xdr:rowOff>123825</xdr:rowOff>
    </xdr:from>
    <xdr:ext cx="304800" cy="323850"/>
    <xdr:sp macro="" textlink="">
      <xdr:nvSpPr>
        <xdr:cNvPr id="12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7EB1518-BB77-4F0E-A3BA-EC150238C5B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12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B0C7CA9-D608-4481-989B-E022EEDD2A0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142875</xdr:colOff>
      <xdr:row>0</xdr:row>
      <xdr:rowOff>123825</xdr:rowOff>
    </xdr:from>
    <xdr:ext cx="304800" cy="323850"/>
    <xdr:sp macro="" textlink="">
      <xdr:nvSpPr>
        <xdr:cNvPr id="12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A0D8FBB-B822-4316-A5BF-D22FC9813C63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12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0D44D06-91F3-4F20-8F19-7947444F610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12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76AA3C5-7F29-4BBC-9BBC-F08BA620A622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228600</xdr:colOff>
      <xdr:row>12</xdr:row>
      <xdr:rowOff>0</xdr:rowOff>
    </xdr:from>
    <xdr:to>
      <xdr:col>11</xdr:col>
      <xdr:colOff>266700</xdr:colOff>
      <xdr:row>14</xdr:row>
      <xdr:rowOff>19050</xdr:rowOff>
    </xdr:to>
    <xdr:sp macro="" textlink="">
      <xdr:nvSpPr>
        <xdr:cNvPr id="128" name="Retângulo: Cantos Arredondados 1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95CE8D8-4EB2-4BDB-95E0-F8714C522318}"/>
            </a:ext>
          </a:extLst>
        </xdr:cNvPr>
        <xdr:cNvSpPr/>
      </xdr:nvSpPr>
      <xdr:spPr>
        <a:xfrm>
          <a:off x="10801350" y="2457450"/>
          <a:ext cx="3695700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Dashboard&gt;&gt;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114300</xdr:rowOff>
    </xdr:to>
    <xdr:sp macro="" textlink="">
      <xdr:nvSpPr>
        <xdr:cNvPr id="2" name="AutoShape 1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A64CCC3-08FF-4F1F-BB61-8BA72520264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7DD6821-5761-457E-B7DF-E560BA1B2664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147637</xdr:colOff>
      <xdr:row>1</xdr:row>
      <xdr:rowOff>104775</xdr:rowOff>
    </xdr:from>
    <xdr:to>
      <xdr:col>0</xdr:col>
      <xdr:colOff>2319337</xdr:colOff>
      <xdr:row>12</xdr:row>
      <xdr:rowOff>28574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9525A-E2F4-47D1-84C7-196B8B551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" y="295275"/>
          <a:ext cx="2171700" cy="21526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38100</xdr:rowOff>
    </xdr:from>
    <xdr:to>
      <xdr:col>0</xdr:col>
      <xdr:colOff>2428874</xdr:colOff>
      <xdr:row>3</xdr:row>
      <xdr:rowOff>28576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453F138-42FE-4297-8A84-CADE58BCFF11}"/>
            </a:ext>
          </a:extLst>
        </xdr:cNvPr>
        <xdr:cNvSpPr/>
      </xdr:nvSpPr>
      <xdr:spPr>
        <a:xfrm>
          <a:off x="0" y="228600"/>
          <a:ext cx="2428874" cy="371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58000">
                    <a:srgbClr val="FFFFFF"/>
                  </a:gs>
                  <a:gs pos="38000">
                    <a:srgbClr val="A6A6A6"/>
                  </a:gs>
                </a:gsLst>
                <a:lin ang="5400000" scaled="0"/>
              </a:gradFill>
              <a:latin typeface="Arial Black" panose="020B0A04020102020204" pitchFamily="34" charset="0"/>
            </a:rPr>
            <a:t>Oikonomia</a:t>
          </a:r>
          <a:endParaRPr lang="pt-BR" sz="2000" b="1">
            <a:gradFill>
              <a:gsLst>
                <a:gs pos="58000">
                  <a:srgbClr val="FFFFFF"/>
                </a:gs>
                <a:gs pos="38000">
                  <a:srgbClr val="A6A6A6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214312</xdr:colOff>
      <xdr:row>11</xdr:row>
      <xdr:rowOff>85725</xdr:rowOff>
    </xdr:from>
    <xdr:to>
      <xdr:col>0</xdr:col>
      <xdr:colOff>2300288</xdr:colOff>
      <xdr:row>14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B41745-1A81-40E9-AC59-A20BBC4148B5}"/>
            </a:ext>
          </a:extLst>
        </xdr:cNvPr>
        <xdr:cNvSpPr/>
      </xdr:nvSpPr>
      <xdr:spPr>
        <a:xfrm>
          <a:off x="214312" y="231457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Titular</a:t>
          </a:r>
          <a:r>
            <a:rPr lang="pt-BR" sz="1800" b="1">
              <a:latin typeface="Constantia" panose="02030602050306030303" pitchFamily="18" charset="0"/>
              <a:cs typeface="Segoe UI Light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214312</xdr:colOff>
      <xdr:row>15</xdr:row>
      <xdr:rowOff>66675</xdr:rowOff>
    </xdr:from>
    <xdr:to>
      <xdr:col>0</xdr:col>
      <xdr:colOff>2300288</xdr:colOff>
      <xdr:row>18</xdr:row>
      <xdr:rowOff>9525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4ED6CC-4B9E-475E-AB37-2E4A8CDBD85F}"/>
            </a:ext>
          </a:extLst>
        </xdr:cNvPr>
        <xdr:cNvSpPr/>
      </xdr:nvSpPr>
      <xdr:spPr>
        <a:xfrm>
          <a:off x="214312" y="305752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cs typeface="Segoe UI Light" panose="020B0502040204020203" pitchFamily="34" charset="0"/>
            </a:rPr>
            <a:t>Informes</a:t>
          </a:r>
          <a:endParaRPr lang="pt-BR" sz="1800" b="1">
            <a:latin typeface="Constantia" panose="02030602050306030303" pitchFamily="18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214312</xdr:colOff>
      <xdr:row>19</xdr:row>
      <xdr:rowOff>47625</xdr:rowOff>
    </xdr:from>
    <xdr:to>
      <xdr:col>0</xdr:col>
      <xdr:colOff>2300288</xdr:colOff>
      <xdr:row>21</xdr:row>
      <xdr:rowOff>180975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7376497-AB08-446A-A9D1-841EED0B29C6}"/>
            </a:ext>
          </a:extLst>
        </xdr:cNvPr>
        <xdr:cNvSpPr/>
      </xdr:nvSpPr>
      <xdr:spPr>
        <a:xfrm>
          <a:off x="214312" y="3800475"/>
          <a:ext cx="2085976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solidFill>
                <a:schemeClr val="tx1"/>
              </a:solidFill>
              <a:latin typeface="Constantia" panose="02030602050306030303" pitchFamily="18" charset="0"/>
              <a:ea typeface="+mn-ea"/>
              <a:cs typeface="Segoe UI Light" panose="020B0502040204020203" pitchFamily="34" charset="0"/>
            </a:rPr>
            <a:t>Notas </a:t>
          </a:r>
        </a:p>
      </xdr:txBody>
    </xdr:sp>
    <xdr:clientData/>
  </xdr:twoCellAnchor>
  <xdr:twoCellAnchor editAs="absolute">
    <xdr:from>
      <xdr:col>0</xdr:col>
      <xdr:colOff>66675</xdr:colOff>
      <xdr:row>24</xdr:row>
      <xdr:rowOff>76200</xdr:rowOff>
    </xdr:from>
    <xdr:to>
      <xdr:col>1</xdr:col>
      <xdr:colOff>76200</xdr:colOff>
      <xdr:row>27</xdr:row>
      <xdr:rowOff>123825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119A54F-972C-4D73-A48A-20BE36468CEA}"/>
            </a:ext>
          </a:extLst>
        </xdr:cNvPr>
        <xdr:cNvSpPr/>
      </xdr:nvSpPr>
      <xdr:spPr>
        <a:xfrm>
          <a:off x="66675" y="4781550"/>
          <a:ext cx="2438400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SYSTEM BY BRUNO AUGUSTO</a:t>
          </a:r>
        </a:p>
      </xdr:txBody>
    </xdr:sp>
    <xdr:clientData/>
  </xdr:twoCellAnchor>
  <xdr:twoCellAnchor>
    <xdr:from>
      <xdr:col>0</xdr:col>
      <xdr:colOff>228600</xdr:colOff>
      <xdr:row>23</xdr:row>
      <xdr:rowOff>142875</xdr:rowOff>
    </xdr:from>
    <xdr:to>
      <xdr:col>0</xdr:col>
      <xdr:colOff>2295525</xdr:colOff>
      <xdr:row>23</xdr:row>
      <xdr:rowOff>152400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8104747-C56E-4B62-AC20-4B1A0B92EF47}"/>
            </a:ext>
          </a:extLst>
        </xdr:cNvPr>
        <xdr:cNvCxnSpPr/>
      </xdr:nvCxnSpPr>
      <xdr:spPr>
        <a:xfrm flipV="1">
          <a:off x="228600" y="4867275"/>
          <a:ext cx="2066925" cy="952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133350</xdr:rowOff>
    </xdr:to>
    <xdr:sp macro="" textlink="">
      <xdr:nvSpPr>
        <xdr:cNvPr id="11" name="AutoShape 1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0AA1455-E23D-4CD4-B488-9EE4F01B51F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14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142875</xdr:colOff>
      <xdr:row>10</xdr:row>
      <xdr:rowOff>123825</xdr:rowOff>
    </xdr:from>
    <xdr:to>
      <xdr:col>3</xdr:col>
      <xdr:colOff>447675</xdr:colOff>
      <xdr:row>12</xdr:row>
      <xdr:rowOff>66675</xdr:rowOff>
    </xdr:to>
    <xdr:sp macro="" textlink="">
      <xdr:nvSpPr>
        <xdr:cNvPr id="1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35752F5-D636-4063-9A70-53347766F80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209550</xdr:colOff>
      <xdr:row>9</xdr:row>
      <xdr:rowOff>0</xdr:rowOff>
    </xdr:from>
    <xdr:to>
      <xdr:col>9</xdr:col>
      <xdr:colOff>219075</xdr:colOff>
      <xdr:row>11</xdr:row>
      <xdr:rowOff>57150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097679-DA69-4002-9DCD-826B6BE6305B}"/>
            </a:ext>
          </a:extLst>
        </xdr:cNvPr>
        <xdr:cNvSpPr/>
      </xdr:nvSpPr>
      <xdr:spPr>
        <a:xfrm>
          <a:off x="10782300" y="1847850"/>
          <a:ext cx="3695700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&lt;&lt;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DA1314F-29B1-425E-AC47-6C82D9B896B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10</xdr:row>
      <xdr:rowOff>123825</xdr:rowOff>
    </xdr:from>
    <xdr:ext cx="304800" cy="323850"/>
    <xdr:sp macro="" textlink="">
      <xdr:nvSpPr>
        <xdr:cNvPr id="1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D6A8BFD-F448-4BB2-983A-58976159FBC5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181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343429E-BF94-4CD1-9FDB-696E00FDF26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11</xdr:row>
      <xdr:rowOff>123825</xdr:rowOff>
    </xdr:from>
    <xdr:ext cx="304800" cy="323850"/>
    <xdr:sp macro="" textlink="">
      <xdr:nvSpPr>
        <xdr:cNvPr id="1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A70A5BB-B7F1-4A01-9C36-A61C9EBFCD04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371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7A39F01-C6E4-4A79-ACB7-B62623CB57A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11</xdr:row>
      <xdr:rowOff>123825</xdr:rowOff>
    </xdr:from>
    <xdr:ext cx="304800" cy="323850"/>
    <xdr:sp macro="" textlink="">
      <xdr:nvSpPr>
        <xdr:cNvPr id="1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6E001C95-88D7-4557-BBB2-2B6FED607D15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371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2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B05F066-3CF3-46BE-9114-61DB2CBD672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4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12</xdr:row>
      <xdr:rowOff>123825</xdr:rowOff>
    </xdr:from>
    <xdr:ext cx="304800" cy="323850"/>
    <xdr:sp macro="" textlink="">
      <xdr:nvSpPr>
        <xdr:cNvPr id="2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4258DE8-80E0-4BFD-AABF-482EB4A6B684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5812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2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7967011-BBA0-41CE-8961-B36FB61FBD64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4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12</xdr:row>
      <xdr:rowOff>123825</xdr:rowOff>
    </xdr:from>
    <xdr:ext cx="304800" cy="323850"/>
    <xdr:sp macro="" textlink="">
      <xdr:nvSpPr>
        <xdr:cNvPr id="2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EEC9013-2DBB-4A69-9B80-8DB864968573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5812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8AFC82C-B16A-4A3A-A805-5E2358A6046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64BCF4B-3452-4629-BC3D-E50FA16E603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935EC5F-1EEA-4AA4-A760-8C493FEF93D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13</xdr:row>
      <xdr:rowOff>123825</xdr:rowOff>
    </xdr:from>
    <xdr:ext cx="304800" cy="323850"/>
    <xdr:sp macro="" textlink="">
      <xdr:nvSpPr>
        <xdr:cNvPr id="2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FF25BFB-0338-432E-A53D-400ACDCA4E93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7908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86092B3-6C61-47C9-83CF-6510F9DC6A6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13</xdr:row>
      <xdr:rowOff>123825</xdr:rowOff>
    </xdr:from>
    <xdr:ext cx="304800" cy="323850"/>
    <xdr:sp macro="" textlink="">
      <xdr:nvSpPr>
        <xdr:cNvPr id="2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FE39474-3A44-4CAA-9F4E-E7B4FA6EFFC0}"/>
            </a:ext>
          </a:extLst>
        </xdr:cNvPr>
        <xdr:cNvSpPr>
          <a:spLocks noChangeAspect="1" noChangeArrowheads="1"/>
        </xdr:cNvSpPr>
      </xdr:nvSpPr>
      <xdr:spPr bwMode="auto">
        <a:xfrm>
          <a:off x="6019800" y="27908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46F9EBA-109A-4DD1-9105-FF79191D29C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9CDC0A7-AB30-4F7A-BCA6-0E0B087EBCE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B98858F-C036-45CE-9A47-FF1DAFE6897D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14</xdr:row>
      <xdr:rowOff>123825</xdr:rowOff>
    </xdr:from>
    <xdr:ext cx="304800" cy="323850"/>
    <xdr:sp macro="" textlink="">
      <xdr:nvSpPr>
        <xdr:cNvPr id="3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FADF105-36D3-44D2-9EC1-7771949B3B0F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000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14EF52A-44E4-4166-A719-C65FC88C3E8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14</xdr:row>
      <xdr:rowOff>123825</xdr:rowOff>
    </xdr:from>
    <xdr:ext cx="304800" cy="323850"/>
    <xdr:sp macro="" textlink="">
      <xdr:nvSpPr>
        <xdr:cNvPr id="3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7532F71-37F4-42E3-89E1-B5DD5868650A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000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3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0002B10-8F05-401C-91E7-2E212342B3A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3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797B249-74FA-45D5-B1AF-E0C4A790697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3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06B2CF7-BD02-40DB-8A0E-866E90B9B564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15</xdr:row>
      <xdr:rowOff>123825</xdr:rowOff>
    </xdr:from>
    <xdr:ext cx="304800" cy="323850"/>
    <xdr:sp macro="" textlink="">
      <xdr:nvSpPr>
        <xdr:cNvPr id="3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738C233-CE10-4F28-B10C-446458BD1CE1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2099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4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608287B-1B53-44B5-9D4C-C0656EC0C8D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15</xdr:row>
      <xdr:rowOff>123825</xdr:rowOff>
    </xdr:from>
    <xdr:ext cx="304800" cy="323850"/>
    <xdr:sp macro="" textlink="">
      <xdr:nvSpPr>
        <xdr:cNvPr id="4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B42A3B2-8308-47DE-B41F-30C76E349751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2099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385B742-09BA-42FC-8D28-53C3167CDC3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87F5ACD-1C1D-4852-8987-86FED6B6D7E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3E575D9-D87F-4C06-9929-072D8E384D3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16</xdr:row>
      <xdr:rowOff>123825</xdr:rowOff>
    </xdr:from>
    <xdr:ext cx="304800" cy="323850"/>
    <xdr:sp macro="" textlink="">
      <xdr:nvSpPr>
        <xdr:cNvPr id="4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15DB665-B32F-48B3-A4B4-3FFF5C379B5F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4194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6A99A46-90F5-4F90-A410-26AE73010DF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16</xdr:row>
      <xdr:rowOff>123825</xdr:rowOff>
    </xdr:from>
    <xdr:ext cx="304800" cy="323850"/>
    <xdr:sp macro="" textlink="">
      <xdr:nvSpPr>
        <xdr:cNvPr id="4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B631E0F-C8E8-4217-872C-2C7634CEC76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4194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4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548C73D-3D94-4A6A-B2BA-9EB13931EA83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5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4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5E86261-1284-4A29-98A4-58451BF4B16E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5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3C80B31-6BCA-4B16-9DC7-4DD1C34585E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5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17</xdr:row>
      <xdr:rowOff>123825</xdr:rowOff>
    </xdr:from>
    <xdr:ext cx="304800" cy="323850"/>
    <xdr:sp macro="" textlink="">
      <xdr:nvSpPr>
        <xdr:cNvPr id="5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4A6C950-EE2B-4EFA-A79B-BEC438018D0C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6290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AD689E3-8574-4E2B-BC7C-FDBE0283B30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5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17</xdr:row>
      <xdr:rowOff>123825</xdr:rowOff>
    </xdr:from>
    <xdr:ext cx="304800" cy="323850"/>
    <xdr:sp macro="" textlink="">
      <xdr:nvSpPr>
        <xdr:cNvPr id="5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DABE357-A31F-4C3A-892A-64629585F75A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6290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6E9ABAC-AD68-4F20-9EE7-3200B6C426B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95B9A23-202B-4816-BF55-87E7AFA7A3F4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2D54DE3-D76C-45E2-A7D9-5C30262F74D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18</xdr:row>
      <xdr:rowOff>123825</xdr:rowOff>
    </xdr:from>
    <xdr:ext cx="304800" cy="323850"/>
    <xdr:sp macro="" textlink="">
      <xdr:nvSpPr>
        <xdr:cNvPr id="5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59328EE-5BB5-491F-8720-30470C666683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8385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593AC0A-8ACE-44F2-A363-687C6119078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7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18</xdr:row>
      <xdr:rowOff>123825</xdr:rowOff>
    </xdr:from>
    <xdr:ext cx="304800" cy="323850"/>
    <xdr:sp macro="" textlink="">
      <xdr:nvSpPr>
        <xdr:cNvPr id="5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1518D9B-289F-43EC-AF45-926661DBB909}"/>
            </a:ext>
          </a:extLst>
        </xdr:cNvPr>
        <xdr:cNvSpPr>
          <a:spLocks noChangeAspect="1" noChangeArrowheads="1"/>
        </xdr:cNvSpPr>
      </xdr:nvSpPr>
      <xdr:spPr bwMode="auto">
        <a:xfrm>
          <a:off x="6019800" y="38385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DA19C70-77E9-48FB-BF53-7376937B6A3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2BC5BE0-458D-40DB-9202-3194FC54A91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213A114-E991-4494-B16B-E7AAA479370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19</xdr:row>
      <xdr:rowOff>123825</xdr:rowOff>
    </xdr:from>
    <xdr:ext cx="304800" cy="323850"/>
    <xdr:sp macro="" textlink="">
      <xdr:nvSpPr>
        <xdr:cNvPr id="6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7BD3BC8-D0C3-45BB-959E-5B5E3EF7B8E9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0481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D95942E-BF51-4BE2-8D4B-FFB1411DB63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19</xdr:row>
      <xdr:rowOff>123825</xdr:rowOff>
    </xdr:from>
    <xdr:ext cx="304800" cy="323850"/>
    <xdr:sp macro="" textlink="">
      <xdr:nvSpPr>
        <xdr:cNvPr id="6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57ED581-8E4C-4474-8965-186DBFCE90AB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0481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6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3E22070-CA76-4FF7-B9A2-004ECE8B6B22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1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6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E7B784B-0D73-445D-B52D-7EA12C59880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1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6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4F854D5A-9CB5-4A4E-898C-3DB384E6048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1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20</xdr:row>
      <xdr:rowOff>123825</xdr:rowOff>
    </xdr:from>
    <xdr:ext cx="304800" cy="323850"/>
    <xdr:sp macro="" textlink="">
      <xdr:nvSpPr>
        <xdr:cNvPr id="6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E3E7A18-CE5F-4496-87AD-ACE127F43B5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257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7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8BFAC8F-FAB2-424D-88D8-C6A74A83AEED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1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20</xdr:row>
      <xdr:rowOff>123825</xdr:rowOff>
    </xdr:from>
    <xdr:ext cx="304800" cy="323850"/>
    <xdr:sp macro="" textlink="">
      <xdr:nvSpPr>
        <xdr:cNvPr id="7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C7FD560-22DD-4316-BE7C-50C9E70EACA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257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7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49E1FB8-7D9D-4BD7-ADAF-1F23EAEAC5E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7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B9CCCD2-6A11-44A5-B0D6-F4505283DEB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7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CC1C452-B859-4689-A7EA-7D3C0D0C1223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21</xdr:row>
      <xdr:rowOff>123825</xdr:rowOff>
    </xdr:from>
    <xdr:ext cx="304800" cy="323850"/>
    <xdr:sp macro="" textlink="">
      <xdr:nvSpPr>
        <xdr:cNvPr id="7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48BFDD8-0550-4B17-A507-CBB84A084D17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467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7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9BDE0D6-C63D-4F23-BBA7-0079BBDA168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21</xdr:row>
      <xdr:rowOff>123825</xdr:rowOff>
    </xdr:from>
    <xdr:ext cx="304800" cy="323850"/>
    <xdr:sp macro="" textlink="">
      <xdr:nvSpPr>
        <xdr:cNvPr id="7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6CC14ED-F4FE-4B69-B4C5-6BA7E2775D8D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467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7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4566BC8-6EFF-4310-84B2-6B7B97CAF8D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7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62E52CC-9A8C-4F80-BFD6-AB7579F5F1F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8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13B5514-0253-4AD4-A645-6C7D4D1C4A2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22</xdr:row>
      <xdr:rowOff>123825</xdr:rowOff>
    </xdr:from>
    <xdr:ext cx="304800" cy="323850"/>
    <xdr:sp macro="" textlink="">
      <xdr:nvSpPr>
        <xdr:cNvPr id="8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B081C77-B36A-4B81-B1A3-65F1EB31CEE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657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8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C29B216-E469-40B7-B887-BD6A0E0DC78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22</xdr:row>
      <xdr:rowOff>123825</xdr:rowOff>
    </xdr:from>
    <xdr:ext cx="304800" cy="323850"/>
    <xdr:sp macro="" textlink="">
      <xdr:nvSpPr>
        <xdr:cNvPr id="8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EBA93F3-D622-413F-8096-C48ADC76280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657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5A1EE7D-3455-4A7A-A415-94E9561E5A6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9549B88-75CB-4CB3-9D7D-3B5C1FFFB2E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C98C9D3C-EE8F-4A38-9F8C-607229EFA6F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23</xdr:row>
      <xdr:rowOff>123825</xdr:rowOff>
    </xdr:from>
    <xdr:ext cx="304800" cy="323850"/>
    <xdr:sp macro="" textlink="">
      <xdr:nvSpPr>
        <xdr:cNvPr id="8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C17D2F6-E9CF-4156-B4D2-99B55D1C1E0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848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2EAF500-A18C-4B4D-AAB9-4FE6FD2AD15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23</xdr:row>
      <xdr:rowOff>123825</xdr:rowOff>
    </xdr:from>
    <xdr:ext cx="304800" cy="323850"/>
    <xdr:sp macro="" textlink="">
      <xdr:nvSpPr>
        <xdr:cNvPr id="8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19EB3ED-AC1C-48BE-B259-6E386F7580E8}"/>
            </a:ext>
          </a:extLst>
        </xdr:cNvPr>
        <xdr:cNvSpPr>
          <a:spLocks noChangeAspect="1" noChangeArrowheads="1"/>
        </xdr:cNvSpPr>
      </xdr:nvSpPr>
      <xdr:spPr bwMode="auto">
        <a:xfrm>
          <a:off x="6019800" y="4848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9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F9C9410-29AC-4321-B46D-BF684D94AAD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9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9EE0789-6733-4418-888A-029C57FE0F6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9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234AE1D-0C7C-4255-8047-E555BE1D6B0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24</xdr:row>
      <xdr:rowOff>123825</xdr:rowOff>
    </xdr:from>
    <xdr:ext cx="304800" cy="323850"/>
    <xdr:sp macro="" textlink="">
      <xdr:nvSpPr>
        <xdr:cNvPr id="9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97B61F0-C5AB-4A0F-AE1B-A3F429432885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38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9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C482BC1-7822-4A9E-A074-4567C33D21C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24</xdr:row>
      <xdr:rowOff>123825</xdr:rowOff>
    </xdr:from>
    <xdr:ext cx="304800" cy="323850"/>
    <xdr:sp macro="" textlink="">
      <xdr:nvSpPr>
        <xdr:cNvPr id="9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007071D-5581-4DB7-8B6E-90513232E0E7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38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9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67AF5FD-9201-4D78-8EDA-AB7D0D617FC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9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B052B8B-673C-47BA-AF1B-1EC993ED6A9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9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2B1CB15-835E-4D67-93D9-B022529F8676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25</xdr:row>
      <xdr:rowOff>123825</xdr:rowOff>
    </xdr:from>
    <xdr:ext cx="304800" cy="323850"/>
    <xdr:sp macro="" textlink="">
      <xdr:nvSpPr>
        <xdr:cNvPr id="9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14693D7-BD79-4A57-A846-F82E9176B203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229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0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49A65EB-B38B-4692-9562-57EF0F34DE1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25</xdr:row>
      <xdr:rowOff>123825</xdr:rowOff>
    </xdr:from>
    <xdr:ext cx="304800" cy="323850"/>
    <xdr:sp macro="" textlink="">
      <xdr:nvSpPr>
        <xdr:cNvPr id="10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DC85B62-94CC-4940-B5AB-B7CB6DE94973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229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7C852C9-25F1-48DC-BEAC-BE749274DC83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2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0D0645C9-B836-442E-8655-DEEFE29CB51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2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D23C289-398C-41AC-BB59-A17D7F825272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2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26</xdr:row>
      <xdr:rowOff>123825</xdr:rowOff>
    </xdr:from>
    <xdr:ext cx="304800" cy="323850"/>
    <xdr:sp macro="" textlink="">
      <xdr:nvSpPr>
        <xdr:cNvPr id="10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25A9168-FCBB-4021-80AE-E0B433BD30F2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19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8B6F6FE-FC0F-4D90-BF36-5DB9BE6191C2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2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26</xdr:row>
      <xdr:rowOff>123825</xdr:rowOff>
    </xdr:from>
    <xdr:ext cx="304800" cy="323850"/>
    <xdr:sp macro="" textlink="">
      <xdr:nvSpPr>
        <xdr:cNvPr id="10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32E8D8E-4BB4-495B-B9D5-912F9421E69C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19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0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5918524-4128-4DE7-A7CB-537312B3F7B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0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435B35E-377A-4683-B890-70DF8E0BBA6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1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95739BA-23FD-40D1-BF8B-344B4F3A4CA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27</xdr:row>
      <xdr:rowOff>123825</xdr:rowOff>
    </xdr:from>
    <xdr:ext cx="304800" cy="323850"/>
    <xdr:sp macro="" textlink="">
      <xdr:nvSpPr>
        <xdr:cNvPr id="11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779DA77-6079-412A-B56A-B3068B3107C1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610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1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7129B720-05D6-46C6-9060-14A005DCBECD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27</xdr:row>
      <xdr:rowOff>123825</xdr:rowOff>
    </xdr:from>
    <xdr:ext cx="304800" cy="323850"/>
    <xdr:sp macro="" textlink="">
      <xdr:nvSpPr>
        <xdr:cNvPr id="11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DDD0E33-7CDA-4A91-9A64-6F0451F1CE1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6102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1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A4CA1C73-0063-47E7-9E84-4E7BA8FDAD0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6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1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FB86DAB-9509-4EC7-9753-FBBED3CADC3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6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1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23D2287-712F-4949-9404-78209D43460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6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28</xdr:row>
      <xdr:rowOff>123825</xdr:rowOff>
    </xdr:from>
    <xdr:ext cx="304800" cy="323850"/>
    <xdr:sp macro="" textlink="">
      <xdr:nvSpPr>
        <xdr:cNvPr id="11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1F6C1F5-B1E1-443B-BC5D-6BEC1F71C464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800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18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F32DF16B-08A9-4E89-998E-5A3B3CBD9181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6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142875</xdr:colOff>
      <xdr:row>28</xdr:row>
      <xdr:rowOff>123825</xdr:rowOff>
    </xdr:from>
    <xdr:ext cx="304800" cy="323850"/>
    <xdr:sp macro="" textlink="">
      <xdr:nvSpPr>
        <xdr:cNvPr id="119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99A2E9BF-45C7-409A-9CEA-F19819C2D3DC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8007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20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13D36E7A-7104-49AF-95E1-0882A141934B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21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816F602A-D9CD-4DD5-8531-47FD4AAC9618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122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EFD67CE5-7728-4784-B1F9-8C7BBBB5F410}"/>
            </a:ext>
          </a:extLst>
        </xdr:cNvPr>
        <xdr:cNvSpPr>
          <a:spLocks noChangeAspect="1" noChangeArrowheads="1"/>
        </xdr:cNvSpPr>
      </xdr:nvSpPr>
      <xdr:spPr bwMode="auto">
        <a:xfrm>
          <a:off x="11791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142875</xdr:colOff>
      <xdr:row>0</xdr:row>
      <xdr:rowOff>123825</xdr:rowOff>
    </xdr:from>
    <xdr:ext cx="304800" cy="323850"/>
    <xdr:sp macro="" textlink="">
      <xdr:nvSpPr>
        <xdr:cNvPr id="123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B2DEB18D-2BC2-4F46-A433-24167D491B50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1238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124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384A66A4-CD15-44D3-A399-FF373DC15BE6}"/>
            </a:ext>
          </a:extLst>
        </xdr:cNvPr>
        <xdr:cNvSpPr>
          <a:spLocks noChangeAspect="1" noChangeArrowheads="1"/>
        </xdr:cNvSpPr>
      </xdr:nvSpPr>
      <xdr:spPr bwMode="auto">
        <a:xfrm>
          <a:off x="11791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142875</xdr:colOff>
      <xdr:row>0</xdr:row>
      <xdr:rowOff>123825</xdr:rowOff>
    </xdr:from>
    <xdr:ext cx="304800" cy="323850"/>
    <xdr:sp macro="" textlink="">
      <xdr:nvSpPr>
        <xdr:cNvPr id="125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D3459B40-2FFB-4E1F-8CB1-A18F8236CF59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1238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126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51F53FF5-F175-4794-991F-087E5BB11569}"/>
            </a:ext>
          </a:extLst>
        </xdr:cNvPr>
        <xdr:cNvSpPr>
          <a:spLocks noChangeAspect="1" noChangeArrowheads="1"/>
        </xdr:cNvSpPr>
      </xdr:nvSpPr>
      <xdr:spPr bwMode="auto">
        <a:xfrm>
          <a:off x="11791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127" name="AutoShape 2" descr="Black Lion Logo In A Circle Vector, A Simplistic Black Icon Of Leo On A  White Background, No Shadows, Small Centered In Frame PNG and Vector with  Transparent Background for Free Download">
          <a:extLst>
            <a:ext uri="{FF2B5EF4-FFF2-40B4-BE49-F238E27FC236}">
              <a16:creationId xmlns:a16="http://schemas.microsoft.com/office/drawing/2014/main" id="{2873FFD8-B02B-4C61-8810-5A383DF746C4}"/>
            </a:ext>
          </a:extLst>
        </xdr:cNvPr>
        <xdr:cNvSpPr>
          <a:spLocks noChangeAspect="1" noChangeArrowheads="1"/>
        </xdr:cNvSpPr>
      </xdr:nvSpPr>
      <xdr:spPr bwMode="auto">
        <a:xfrm>
          <a:off x="11791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1447800</xdr:colOff>
      <xdr:row>10</xdr:row>
      <xdr:rowOff>142874</xdr:rowOff>
    </xdr:from>
    <xdr:to>
      <xdr:col>4</xdr:col>
      <xdr:colOff>133350</xdr:colOff>
      <xdr:row>25</xdr:row>
      <xdr:rowOff>47625</xdr:rowOff>
    </xdr:to>
    <xdr:graphicFrame macro="">
      <xdr:nvGraphicFramePr>
        <xdr:cNvPr id="131" name="Gráfico 130">
          <a:extLst>
            <a:ext uri="{FF2B5EF4-FFF2-40B4-BE49-F238E27FC236}">
              <a16:creationId xmlns:a16="http://schemas.microsoft.com/office/drawing/2014/main" id="{4DB30B92-8237-BA45-CED2-472A82C27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C0035-19C2-438C-AEF8-977D23D15209}" name="Tabela1" displayName="Tabela1" ref="C10:E30" totalsRowShown="0">
  <autoFilter ref="C10:E30" xr:uid="{372C0035-19C2-438C-AEF8-977D23D15209}"/>
  <tableColumns count="3">
    <tableColumn id="1" xr3:uid="{CE2AC17B-A3EC-45F9-AE95-1C53299E0849}" name="Entradas"/>
    <tableColumn id="2" xr3:uid="{0DF0F58A-A5A0-471C-AA55-1D3314CA6B74}" name="Coluna1"/>
    <tableColumn id="3" xr3:uid="{160F0305-06A3-45A1-95A5-50DD9C2FB0C7}" name="Coluna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5DC4A2-1487-400B-AADF-E1D32F017A9A}" name="Tabela3" displayName="Tabela3" ref="H16:I19" totalsRowShown="0">
  <autoFilter ref="H16:I19" xr:uid="{855DC4A2-1487-400B-AADF-E1D32F017A9A}"/>
  <tableColumns count="2">
    <tableColumn id="1" xr3:uid="{49783034-D39B-463B-A66A-ED1A17E12491}" name="Banco"/>
    <tableColumn id="2" xr3:uid="{38DC6B80-DC9A-4D8E-B3FF-DDACE071499F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unodegarcia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9811-71FD-44F1-903C-EC926E7A42F7}">
  <dimension ref="A5:E21"/>
  <sheetViews>
    <sheetView showGridLines="0" zoomScaleNormal="100" workbookViewId="0">
      <selection activeCell="D20" sqref="D20"/>
    </sheetView>
  </sheetViews>
  <sheetFormatPr defaultRowHeight="15" x14ac:dyDescent="0.25"/>
  <cols>
    <col min="1" max="1" width="36.42578125" style="1" customWidth="1"/>
    <col min="3" max="3" width="42.5703125" customWidth="1"/>
    <col min="4" max="4" width="55" customWidth="1"/>
  </cols>
  <sheetData>
    <row r="5" spans="3:5" ht="24.75" thickBot="1" x14ac:dyDescent="0.45">
      <c r="C5" s="5" t="s">
        <v>11</v>
      </c>
      <c r="D5" s="4"/>
      <c r="E5" s="4"/>
    </row>
    <row r="6" spans="3:5" ht="15.75" thickTop="1" x14ac:dyDescent="0.25">
      <c r="C6" s="28" t="s">
        <v>12</v>
      </c>
      <c r="D6" s="28"/>
      <c r="E6" s="28"/>
    </row>
    <row r="7" spans="3:5" x14ac:dyDescent="0.25">
      <c r="C7" s="29"/>
      <c r="D7" s="29"/>
      <c r="E7" s="29"/>
    </row>
    <row r="8" spans="3:5" x14ac:dyDescent="0.25">
      <c r="C8" s="6"/>
      <c r="D8" s="6"/>
      <c r="E8" s="6"/>
    </row>
    <row r="10" spans="3:5" ht="16.5" x14ac:dyDescent="0.3">
      <c r="C10" s="2" t="s">
        <v>0</v>
      </c>
      <c r="D10" s="15" t="s">
        <v>78</v>
      </c>
    </row>
    <row r="11" spans="3:5" ht="16.5" x14ac:dyDescent="0.3">
      <c r="C11" s="2" t="s">
        <v>1</v>
      </c>
      <c r="D11" s="16">
        <v>12312312367</v>
      </c>
    </row>
    <row r="12" spans="3:5" ht="16.5" x14ac:dyDescent="0.3">
      <c r="C12" s="2" t="s">
        <v>16</v>
      </c>
      <c r="D12" s="17">
        <v>34605</v>
      </c>
    </row>
    <row r="13" spans="3:5" ht="16.5" x14ac:dyDescent="0.3">
      <c r="C13" s="2" t="s">
        <v>2</v>
      </c>
      <c r="D13" s="15">
        <v>31317388</v>
      </c>
    </row>
    <row r="14" spans="3:5" ht="16.5" x14ac:dyDescent="0.3">
      <c r="C14" s="2" t="s">
        <v>3</v>
      </c>
      <c r="D14" s="17" t="s">
        <v>17</v>
      </c>
    </row>
    <row r="15" spans="3:5" ht="16.5" x14ac:dyDescent="0.3">
      <c r="C15" s="2" t="s">
        <v>4</v>
      </c>
      <c r="D15" s="18">
        <v>555555555</v>
      </c>
    </row>
    <row r="16" spans="3:5" ht="16.5" x14ac:dyDescent="0.3">
      <c r="C16" s="2" t="s">
        <v>5</v>
      </c>
      <c r="D16" s="19">
        <v>999999999</v>
      </c>
    </row>
    <row r="17" spans="3:4" ht="16.5" x14ac:dyDescent="0.3">
      <c r="C17" s="2" t="s">
        <v>6</v>
      </c>
      <c r="D17" s="20">
        <v>888888888</v>
      </c>
    </row>
    <row r="18" spans="3:4" ht="16.5" x14ac:dyDescent="0.3">
      <c r="C18" s="2" t="s">
        <v>7</v>
      </c>
      <c r="D18" s="21" t="s">
        <v>13</v>
      </c>
    </row>
    <row r="19" spans="3:4" ht="16.5" x14ac:dyDescent="0.3">
      <c r="C19" s="2" t="s">
        <v>8</v>
      </c>
      <c r="D19" s="22" t="s">
        <v>14</v>
      </c>
    </row>
    <row r="20" spans="3:4" ht="16.5" x14ac:dyDescent="0.3">
      <c r="C20" s="2" t="s">
        <v>9</v>
      </c>
      <c r="D20" s="22" t="s">
        <v>15</v>
      </c>
    </row>
    <row r="21" spans="3:4" ht="16.5" x14ac:dyDescent="0.3">
      <c r="C21" s="2" t="s">
        <v>10</v>
      </c>
      <c r="D21" s="22" t="s">
        <v>15</v>
      </c>
    </row>
  </sheetData>
  <sheetProtection sheet="1" objects="1" scenarios="1" selectLockedCells="1"/>
  <mergeCells count="1">
    <mergeCell ref="C6:E7"/>
  </mergeCells>
  <dataValidations count="1">
    <dataValidation type="list" allowBlank="1" showInputMessage="1" showErrorMessage="1" sqref="D19:D21" xr:uid="{A19528D5-D2D4-493A-989A-92BACF431EFD}">
      <formula1>"SIM, NÃO"</formula1>
    </dataValidation>
  </dataValidations>
  <hyperlinks>
    <hyperlink ref="D18" r:id="rId1" xr:uid="{83EB5BB5-9742-4B91-A55B-DD00148CB4B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F8DE-6771-4651-8E49-5252C5AB300C}">
  <dimension ref="A5:E29"/>
  <sheetViews>
    <sheetView showGridLines="0" topLeftCell="A12" zoomScaleNormal="100" workbookViewId="0">
      <selection activeCell="D29" sqref="D29"/>
    </sheetView>
  </sheetViews>
  <sheetFormatPr defaultRowHeight="15" x14ac:dyDescent="0.25"/>
  <cols>
    <col min="1" max="1" width="36.42578125" style="1" customWidth="1"/>
    <col min="3" max="3" width="42.5703125" customWidth="1"/>
    <col min="4" max="4" width="55" customWidth="1"/>
    <col min="9" max="9" width="9" bestFit="1" customWidth="1"/>
  </cols>
  <sheetData>
    <row r="5" spans="3:5" ht="24.75" thickBot="1" x14ac:dyDescent="0.45">
      <c r="C5" s="5" t="s">
        <v>19</v>
      </c>
      <c r="D5" s="4"/>
      <c r="E5" s="4"/>
    </row>
    <row r="6" spans="3:5" ht="15.75" thickTop="1" x14ac:dyDescent="0.25">
      <c r="C6" s="28" t="s">
        <v>18</v>
      </c>
      <c r="D6" s="28"/>
      <c r="E6" s="28"/>
    </row>
    <row r="7" spans="3:5" x14ac:dyDescent="0.25">
      <c r="C7" s="29"/>
      <c r="D7" s="29"/>
      <c r="E7" s="29"/>
    </row>
    <row r="8" spans="3:5" x14ac:dyDescent="0.25">
      <c r="C8" s="6"/>
      <c r="D8" s="6"/>
      <c r="E8" s="6"/>
    </row>
    <row r="10" spans="3:5" x14ac:dyDescent="0.25">
      <c r="C10" s="8" t="s">
        <v>77</v>
      </c>
    </row>
    <row r="11" spans="3:5" x14ac:dyDescent="0.25">
      <c r="C11" s="30">
        <f>SUM(D16,D22,D28)</f>
        <v>50510114</v>
      </c>
      <c r="D11" s="31"/>
    </row>
    <row r="13" spans="3:5" ht="16.5" x14ac:dyDescent="0.3">
      <c r="C13" s="3"/>
    </row>
    <row r="14" spans="3:5" x14ac:dyDescent="0.25">
      <c r="C14" s="8" t="s">
        <v>74</v>
      </c>
    </row>
    <row r="15" spans="3:5" ht="16.5" x14ac:dyDescent="0.3">
      <c r="C15" s="2" t="s">
        <v>20</v>
      </c>
      <c r="D15" s="15" t="s">
        <v>41</v>
      </c>
    </row>
    <row r="16" spans="3:5" ht="16.5" x14ac:dyDescent="0.3">
      <c r="C16" s="2" t="s">
        <v>21</v>
      </c>
      <c r="D16" s="23">
        <v>30010047</v>
      </c>
    </row>
    <row r="17" spans="3:4" ht="16.5" x14ac:dyDescent="0.3">
      <c r="C17" s="2" t="s">
        <v>22</v>
      </c>
      <c r="D17" s="15" t="s">
        <v>78</v>
      </c>
    </row>
    <row r="20" spans="3:4" x14ac:dyDescent="0.25">
      <c r="C20" s="8" t="s">
        <v>75</v>
      </c>
      <c r="D20" s="7"/>
    </row>
    <row r="21" spans="3:4" ht="16.5" x14ac:dyDescent="0.3">
      <c r="C21" s="2" t="s">
        <v>20</v>
      </c>
      <c r="D21" s="15" t="s">
        <v>63</v>
      </c>
    </row>
    <row r="22" spans="3:4" ht="16.5" x14ac:dyDescent="0.3">
      <c r="C22" s="2" t="s">
        <v>21</v>
      </c>
      <c r="D22" s="23">
        <v>500000</v>
      </c>
    </row>
    <row r="23" spans="3:4" ht="16.5" x14ac:dyDescent="0.3">
      <c r="C23" s="2" t="s">
        <v>22</v>
      </c>
      <c r="D23" s="15" t="s">
        <v>78</v>
      </c>
    </row>
    <row r="26" spans="3:4" x14ac:dyDescent="0.25">
      <c r="C26" s="8" t="s">
        <v>76</v>
      </c>
      <c r="D26" s="7"/>
    </row>
    <row r="27" spans="3:4" ht="16.5" x14ac:dyDescent="0.3">
      <c r="C27" s="2" t="s">
        <v>20</v>
      </c>
      <c r="D27" s="15" t="s">
        <v>60</v>
      </c>
    </row>
    <row r="28" spans="3:4" ht="16.5" x14ac:dyDescent="0.3">
      <c r="C28" s="2" t="s">
        <v>21</v>
      </c>
      <c r="D28" s="23">
        <v>20000067</v>
      </c>
    </row>
    <row r="29" spans="3:4" ht="16.5" x14ac:dyDescent="0.3">
      <c r="C29" s="2" t="s">
        <v>22</v>
      </c>
      <c r="D29" s="15" t="s">
        <v>78</v>
      </c>
    </row>
  </sheetData>
  <sheetProtection sheet="1" objects="1" scenarios="1" selectLockedCells="1"/>
  <mergeCells count="2">
    <mergeCell ref="C6:E7"/>
    <mergeCell ref="C11:D1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." error="Informe um banco da lista." promptTitle="Informe um banco." prompt="Informe um banco vinculado ao seu CPF. " xr:uid="{31F2B0E0-137F-4617-A319-45BDD513DCC4}">
          <x14:formula1>
            <xm:f>Planilha1!$A$2:$A$51</xm:f>
          </x14:formula1>
          <xm:sqref>D27 D15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8124-A2DB-4C43-A8C4-32D172BDDB59}">
  <dimension ref="A1:H30"/>
  <sheetViews>
    <sheetView showGridLines="0" showRowColHeaders="0" zoomScaleNormal="100" workbookViewId="0">
      <selection activeCell="D14" sqref="D14"/>
    </sheetView>
  </sheetViews>
  <sheetFormatPr defaultRowHeight="15" x14ac:dyDescent="0.25"/>
  <cols>
    <col min="1" max="1" width="36.42578125" style="1" customWidth="1"/>
    <col min="3" max="3" width="42.5703125" customWidth="1"/>
    <col min="4" max="4" width="55" customWidth="1"/>
    <col min="5" max="5" width="15.42578125" bestFit="1" customWidth="1"/>
  </cols>
  <sheetData>
    <row r="1" spans="3:8" x14ac:dyDescent="0.25">
      <c r="H1" s="14"/>
    </row>
    <row r="5" spans="3:8" ht="24.75" thickBot="1" x14ac:dyDescent="0.45">
      <c r="C5" s="5" t="s">
        <v>79</v>
      </c>
      <c r="D5" s="4"/>
      <c r="E5" s="4"/>
    </row>
    <row r="6" spans="3:8" ht="15.75" thickTop="1" x14ac:dyDescent="0.25">
      <c r="C6" s="28" t="s">
        <v>80</v>
      </c>
      <c r="D6" s="28"/>
      <c r="E6" s="28"/>
    </row>
    <row r="7" spans="3:8" x14ac:dyDescent="0.25">
      <c r="C7" s="29"/>
      <c r="D7" s="29"/>
      <c r="E7" s="29"/>
    </row>
    <row r="8" spans="3:8" x14ac:dyDescent="0.25">
      <c r="C8" s="6"/>
      <c r="D8" s="6"/>
      <c r="E8" s="6"/>
    </row>
    <row r="10" spans="3:8" ht="16.5" x14ac:dyDescent="0.3">
      <c r="C10" s="12" t="s">
        <v>84</v>
      </c>
      <c r="D10" s="10" t="s">
        <v>85</v>
      </c>
      <c r="E10" s="10" t="s">
        <v>86</v>
      </c>
    </row>
    <row r="11" spans="3:8" x14ac:dyDescent="0.25">
      <c r="C11" s="11" t="s">
        <v>81</v>
      </c>
      <c r="D11" s="11" t="s">
        <v>82</v>
      </c>
      <c r="E11" s="11" t="s">
        <v>83</v>
      </c>
    </row>
    <row r="12" spans="3:8" ht="16.5" x14ac:dyDescent="0.3">
      <c r="C12" s="24">
        <v>46045</v>
      </c>
      <c r="D12" s="25" t="s">
        <v>87</v>
      </c>
      <c r="E12" s="26">
        <v>878432.96</v>
      </c>
    </row>
    <row r="13" spans="3:8" ht="16.5" x14ac:dyDescent="0.3">
      <c r="C13" s="24">
        <v>42032</v>
      </c>
      <c r="D13" s="25" t="s">
        <v>87</v>
      </c>
      <c r="E13" s="26">
        <v>192512.91</v>
      </c>
    </row>
    <row r="14" spans="3:8" ht="16.5" x14ac:dyDescent="0.3">
      <c r="C14" s="27"/>
      <c r="D14" s="25" t="s">
        <v>90</v>
      </c>
      <c r="E14" s="26"/>
    </row>
    <row r="15" spans="3:8" ht="16.5" x14ac:dyDescent="0.3">
      <c r="C15" s="27"/>
      <c r="D15" s="25"/>
      <c r="E15" s="26"/>
    </row>
    <row r="16" spans="3:8" ht="16.5" x14ac:dyDescent="0.3">
      <c r="C16" s="27"/>
      <c r="D16" s="25"/>
      <c r="E16" s="26"/>
    </row>
    <row r="17" spans="3:5" ht="16.5" x14ac:dyDescent="0.3">
      <c r="C17" s="27"/>
      <c r="D17" s="25"/>
      <c r="E17" s="26"/>
    </row>
    <row r="18" spans="3:5" ht="16.5" x14ac:dyDescent="0.3">
      <c r="C18" s="27"/>
      <c r="D18" s="25"/>
      <c r="E18" s="26"/>
    </row>
    <row r="19" spans="3:5" ht="16.5" x14ac:dyDescent="0.3">
      <c r="C19" s="27"/>
      <c r="D19" s="25"/>
      <c r="E19" s="26"/>
    </row>
    <row r="20" spans="3:5" ht="16.5" x14ac:dyDescent="0.3">
      <c r="C20" s="27"/>
      <c r="D20" s="25"/>
      <c r="E20" s="26"/>
    </row>
    <row r="21" spans="3:5" ht="16.5" x14ac:dyDescent="0.3">
      <c r="C21" s="27"/>
      <c r="D21" s="25"/>
      <c r="E21" s="26"/>
    </row>
    <row r="22" spans="3:5" x14ac:dyDescent="0.25">
      <c r="C22" s="25"/>
      <c r="D22" s="25"/>
      <c r="E22" s="26"/>
    </row>
    <row r="23" spans="3:5" x14ac:dyDescent="0.25">
      <c r="C23" s="25"/>
      <c r="D23" s="25"/>
      <c r="E23" s="26"/>
    </row>
    <row r="24" spans="3:5" x14ac:dyDescent="0.25">
      <c r="C24" s="25"/>
      <c r="D24" s="25"/>
      <c r="E24" s="26"/>
    </row>
    <row r="25" spans="3:5" x14ac:dyDescent="0.25">
      <c r="C25" s="25"/>
      <c r="D25" s="25"/>
      <c r="E25" s="26"/>
    </row>
    <row r="26" spans="3:5" x14ac:dyDescent="0.25">
      <c r="C26" s="25"/>
      <c r="D26" s="25"/>
      <c r="E26" s="26"/>
    </row>
    <row r="27" spans="3:5" x14ac:dyDescent="0.25">
      <c r="C27" s="25"/>
      <c r="D27" s="25"/>
      <c r="E27" s="26"/>
    </row>
    <row r="28" spans="3:5" x14ac:dyDescent="0.25">
      <c r="C28" s="25"/>
      <c r="D28" s="25"/>
      <c r="E28" s="26"/>
    </row>
    <row r="29" spans="3:5" x14ac:dyDescent="0.25">
      <c r="C29" s="25"/>
      <c r="D29" s="25"/>
      <c r="E29" s="26"/>
    </row>
    <row r="30" spans="3:5" x14ac:dyDescent="0.25">
      <c r="C30" s="25"/>
      <c r="D30" s="25"/>
      <c r="E30" s="26"/>
    </row>
  </sheetData>
  <sheetProtection sheet="1" objects="1" scenarios="1" selectLockedCells="1"/>
  <mergeCells count="1">
    <mergeCell ref="C6:E7"/>
  </mergeCells>
  <dataValidations count="2">
    <dataValidation type="list" allowBlank="1" showInputMessage="1" showErrorMessage="1" sqref="H1" xr:uid="{66A6E320-FCD0-4B8A-BB9E-C662E88B1610}">
      <formula1>"HOLERITE, CNPJ, FREELANCER"</formula1>
    </dataValidation>
    <dataValidation type="list" allowBlank="1" showInputMessage="1" showErrorMessage="1" sqref="D12 D13:D30" xr:uid="{84EA7DFF-8DDD-49FF-9582-E4A9897BCF0D}">
      <formula1>"HOLERITE, CNPJ, FREELANCER, EMPRESÁRIO"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9A6-48C8-4F09-AED2-BC77C3126ED9}">
  <dimension ref="A1:I30"/>
  <sheetViews>
    <sheetView showGridLines="0" tabSelected="1" zoomScaleNormal="100" workbookViewId="0">
      <selection activeCell="J30" sqref="J30"/>
    </sheetView>
  </sheetViews>
  <sheetFormatPr defaultRowHeight="15" x14ac:dyDescent="0.25"/>
  <cols>
    <col min="1" max="1" width="36.42578125" style="1" customWidth="1"/>
    <col min="2" max="2" width="9.140625" style="9"/>
    <col min="3" max="3" width="42.5703125" style="9" customWidth="1"/>
    <col min="4" max="4" width="55" style="9" customWidth="1"/>
    <col min="5" max="5" width="15.42578125" style="9" bestFit="1" customWidth="1"/>
    <col min="6" max="7" width="9.140625" style="9"/>
    <col min="8" max="8" width="21.5703125" style="9" bestFit="1" customWidth="1"/>
    <col min="9" max="9" width="15.42578125" style="9" bestFit="1" customWidth="1"/>
    <col min="10" max="16384" width="9.140625" style="9"/>
  </cols>
  <sheetData>
    <row r="1" spans="3:9" x14ac:dyDescent="0.25">
      <c r="H1" s="14"/>
    </row>
    <row r="5" spans="3:9" ht="24.75" thickBot="1" x14ac:dyDescent="0.45">
      <c r="C5" s="5" t="s">
        <v>88</v>
      </c>
      <c r="D5" s="4"/>
      <c r="E5" s="4"/>
    </row>
    <row r="6" spans="3:9" ht="15.75" thickTop="1" x14ac:dyDescent="0.25">
      <c r="C6" s="28" t="s">
        <v>89</v>
      </c>
      <c r="D6" s="28"/>
      <c r="E6" s="28"/>
    </row>
    <row r="7" spans="3:9" x14ac:dyDescent="0.25">
      <c r="C7" s="29"/>
      <c r="D7" s="29"/>
      <c r="E7" s="29"/>
    </row>
    <row r="8" spans="3:9" x14ac:dyDescent="0.25">
      <c r="C8" s="6"/>
      <c r="D8" s="6"/>
      <c r="E8" s="6"/>
    </row>
    <row r="10" spans="3:9" x14ac:dyDescent="0.25">
      <c r="C10"/>
      <c r="D10"/>
      <c r="E10"/>
    </row>
    <row r="11" spans="3:9" x14ac:dyDescent="0.25">
      <c r="C11"/>
      <c r="D11"/>
      <c r="E11"/>
    </row>
    <row r="12" spans="3:9" x14ac:dyDescent="0.25">
      <c r="C12"/>
      <c r="D12"/>
      <c r="E12"/>
    </row>
    <row r="13" spans="3:9" x14ac:dyDescent="0.25">
      <c r="C13"/>
      <c r="D13"/>
      <c r="E13"/>
    </row>
    <row r="14" spans="3:9" x14ac:dyDescent="0.25">
      <c r="C14"/>
      <c r="D14"/>
      <c r="E14"/>
    </row>
    <row r="15" spans="3:9" x14ac:dyDescent="0.25">
      <c r="C15"/>
      <c r="D15"/>
      <c r="E15"/>
    </row>
    <row r="16" spans="3:9" x14ac:dyDescent="0.25">
      <c r="C16"/>
      <c r="D16"/>
      <c r="E16"/>
      <c r="H16" s="9" t="s">
        <v>20</v>
      </c>
      <c r="I16" s="9" t="s">
        <v>83</v>
      </c>
    </row>
    <row r="17" spans="3:9" x14ac:dyDescent="0.25">
      <c r="C17"/>
      <c r="D17"/>
      <c r="E17"/>
      <c r="H17" s="9" t="str">
        <f>Informes!D15</f>
        <v>3 - Banco da Amazônia</v>
      </c>
      <c r="I17" s="13">
        <f>Informes!D16</f>
        <v>30010047</v>
      </c>
    </row>
    <row r="18" spans="3:9" x14ac:dyDescent="0.25">
      <c r="C18"/>
      <c r="D18"/>
      <c r="E18"/>
      <c r="H18" s="9" t="str">
        <f>Informes!D21</f>
        <v>707 - Banco Daycoval</v>
      </c>
      <c r="I18" s="13">
        <f>Informes!D22</f>
        <v>500000</v>
      </c>
    </row>
    <row r="19" spans="3:9" x14ac:dyDescent="0.25">
      <c r="C19"/>
      <c r="D19"/>
      <c r="E19"/>
      <c r="H19" s="9" t="str">
        <f>Informes!D27</f>
        <v>654 - Banco AJ Renner</v>
      </c>
      <c r="I19" s="13">
        <f>Informes!D28</f>
        <v>20000067</v>
      </c>
    </row>
    <row r="20" spans="3:9" x14ac:dyDescent="0.25">
      <c r="C20"/>
      <c r="D20"/>
      <c r="E20"/>
    </row>
    <row r="21" spans="3:9" x14ac:dyDescent="0.25">
      <c r="C21"/>
      <c r="D21"/>
      <c r="E21"/>
    </row>
    <row r="22" spans="3:9" x14ac:dyDescent="0.25">
      <c r="C22"/>
      <c r="D22"/>
      <c r="E22"/>
    </row>
    <row r="23" spans="3:9" x14ac:dyDescent="0.25">
      <c r="C23"/>
      <c r="D23"/>
      <c r="E23"/>
    </row>
    <row r="24" spans="3:9" x14ac:dyDescent="0.25">
      <c r="C24"/>
      <c r="D24"/>
      <c r="E24"/>
    </row>
    <row r="25" spans="3:9" x14ac:dyDescent="0.25">
      <c r="C25"/>
      <c r="D25"/>
      <c r="E25"/>
    </row>
    <row r="26" spans="3:9" x14ac:dyDescent="0.25">
      <c r="C26"/>
      <c r="D26"/>
      <c r="E26"/>
    </row>
    <row r="27" spans="3:9" x14ac:dyDescent="0.25">
      <c r="C27"/>
      <c r="D27"/>
      <c r="E27"/>
    </row>
    <row r="28" spans="3:9" x14ac:dyDescent="0.25">
      <c r="C28"/>
      <c r="D28"/>
      <c r="E28"/>
    </row>
    <row r="29" spans="3:9" x14ac:dyDescent="0.25">
      <c r="C29"/>
      <c r="D29"/>
      <c r="E29"/>
    </row>
    <row r="30" spans="3:9" x14ac:dyDescent="0.25">
      <c r="C30"/>
      <c r="D30"/>
      <c r="E30"/>
    </row>
  </sheetData>
  <sheetProtection sheet="1" objects="1" scenarios="1" selectLockedCells="1"/>
  <mergeCells count="1">
    <mergeCell ref="C6:E7"/>
  </mergeCells>
  <dataValidations count="2">
    <dataValidation type="list" allowBlank="1" showInputMessage="1" showErrorMessage="1" sqref="D12:D30" xr:uid="{4444FC9E-D5D6-4223-929B-AC326C3B08E8}">
      <formula1>"HOLERITE, CNPJ, FREELANCER, EMPRESÁRIO"</formula1>
    </dataValidation>
    <dataValidation type="list" allowBlank="1" showInputMessage="1" showErrorMessage="1" sqref="H1" xr:uid="{6C961913-AD85-44AB-8AF9-E16DA55D2698}">
      <formula1>"HOLERITE, CNPJ, 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20D1-84AD-44DF-A462-EBD7406FC08F}">
  <dimension ref="A1:A51"/>
  <sheetViews>
    <sheetView topLeftCell="A33" workbookViewId="0">
      <selection activeCell="E44" sqref="E44"/>
    </sheetView>
  </sheetViews>
  <sheetFormatPr defaultRowHeight="15" x14ac:dyDescent="0.25"/>
  <sheetData>
    <row r="1" spans="1:1" x14ac:dyDescent="0.25">
      <c r="A1" s="9" t="s">
        <v>23</v>
      </c>
    </row>
    <row r="2" spans="1:1" x14ac:dyDescent="0.25">
      <c r="A2" s="9" t="s">
        <v>24</v>
      </c>
    </row>
    <row r="3" spans="1:1" x14ac:dyDescent="0.25">
      <c r="A3" s="9" t="s">
        <v>25</v>
      </c>
    </row>
    <row r="4" spans="1:1" x14ac:dyDescent="0.25">
      <c r="A4" s="9" t="s">
        <v>26</v>
      </c>
    </row>
    <row r="5" spans="1:1" x14ac:dyDescent="0.25">
      <c r="A5" s="9" t="s">
        <v>27</v>
      </c>
    </row>
    <row r="6" spans="1:1" x14ac:dyDescent="0.25">
      <c r="A6" s="9" t="s">
        <v>28</v>
      </c>
    </row>
    <row r="7" spans="1:1" x14ac:dyDescent="0.25">
      <c r="A7" s="9" t="s">
        <v>29</v>
      </c>
    </row>
    <row r="8" spans="1:1" x14ac:dyDescent="0.25">
      <c r="A8" s="9" t="s">
        <v>30</v>
      </c>
    </row>
    <row r="9" spans="1:1" x14ac:dyDescent="0.25">
      <c r="A9" s="9" t="s">
        <v>31</v>
      </c>
    </row>
    <row r="10" spans="1:1" x14ac:dyDescent="0.25">
      <c r="A10" s="9" t="s">
        <v>32</v>
      </c>
    </row>
    <row r="11" spans="1:1" x14ac:dyDescent="0.25">
      <c r="A11" s="9" t="s">
        <v>33</v>
      </c>
    </row>
    <row r="12" spans="1:1" x14ac:dyDescent="0.25">
      <c r="A12" s="9" t="s">
        <v>34</v>
      </c>
    </row>
    <row r="13" spans="1:1" x14ac:dyDescent="0.25">
      <c r="A13" s="9" t="s">
        <v>35</v>
      </c>
    </row>
    <row r="14" spans="1:1" x14ac:dyDescent="0.25">
      <c r="A14" s="9" t="s">
        <v>36</v>
      </c>
    </row>
    <row r="15" spans="1:1" x14ac:dyDescent="0.25">
      <c r="A15" s="9" t="s">
        <v>37</v>
      </c>
    </row>
    <row r="16" spans="1:1" x14ac:dyDescent="0.25">
      <c r="A16" s="9" t="s">
        <v>38</v>
      </c>
    </row>
    <row r="17" spans="1:1" x14ac:dyDescent="0.25">
      <c r="A17" s="9" t="s">
        <v>39</v>
      </c>
    </row>
    <row r="18" spans="1:1" x14ac:dyDescent="0.25">
      <c r="A18" s="9" t="s">
        <v>40</v>
      </c>
    </row>
    <row r="19" spans="1:1" x14ac:dyDescent="0.25">
      <c r="A19" s="9" t="s">
        <v>41</v>
      </c>
    </row>
    <row r="20" spans="1:1" x14ac:dyDescent="0.25">
      <c r="A20" s="9" t="s">
        <v>42</v>
      </c>
    </row>
    <row r="21" spans="1:1" x14ac:dyDescent="0.25">
      <c r="A21" s="9" t="s">
        <v>43</v>
      </c>
    </row>
    <row r="22" spans="1:1" x14ac:dyDescent="0.25">
      <c r="A22" s="9" t="s">
        <v>44</v>
      </c>
    </row>
    <row r="23" spans="1:1" x14ac:dyDescent="0.25">
      <c r="A23" s="9" t="s">
        <v>45</v>
      </c>
    </row>
    <row r="24" spans="1:1" x14ac:dyDescent="0.25">
      <c r="A24" s="9" t="s">
        <v>46</v>
      </c>
    </row>
    <row r="25" spans="1:1" x14ac:dyDescent="0.25">
      <c r="A25" s="9" t="s">
        <v>47</v>
      </c>
    </row>
    <row r="26" spans="1:1" x14ac:dyDescent="0.25">
      <c r="A26" s="9" t="s">
        <v>48</v>
      </c>
    </row>
    <row r="27" spans="1:1" x14ac:dyDescent="0.25">
      <c r="A27" s="9" t="s">
        <v>49</v>
      </c>
    </row>
    <row r="28" spans="1:1" x14ac:dyDescent="0.25">
      <c r="A28" s="9" t="s">
        <v>50</v>
      </c>
    </row>
    <row r="29" spans="1:1" x14ac:dyDescent="0.25">
      <c r="A29" s="9" t="s">
        <v>51</v>
      </c>
    </row>
    <row r="30" spans="1:1" x14ac:dyDescent="0.25">
      <c r="A30" s="9" t="s">
        <v>52</v>
      </c>
    </row>
    <row r="31" spans="1:1" x14ac:dyDescent="0.25">
      <c r="A31" s="9" t="s">
        <v>53</v>
      </c>
    </row>
    <row r="32" spans="1:1" x14ac:dyDescent="0.25">
      <c r="A32" s="9" t="s">
        <v>54</v>
      </c>
    </row>
    <row r="33" spans="1:1" x14ac:dyDescent="0.25">
      <c r="A33" s="9" t="s">
        <v>55</v>
      </c>
    </row>
    <row r="34" spans="1:1" x14ac:dyDescent="0.25">
      <c r="A34" s="9" t="s">
        <v>56</v>
      </c>
    </row>
    <row r="35" spans="1:1" x14ac:dyDescent="0.25">
      <c r="A35" s="9" t="s">
        <v>57</v>
      </c>
    </row>
    <row r="36" spans="1:1" x14ac:dyDescent="0.25">
      <c r="A36" s="9" t="s">
        <v>58</v>
      </c>
    </row>
    <row r="37" spans="1:1" x14ac:dyDescent="0.25">
      <c r="A37" s="9" t="s">
        <v>59</v>
      </c>
    </row>
    <row r="38" spans="1:1" x14ac:dyDescent="0.25">
      <c r="A38" s="9" t="s">
        <v>60</v>
      </c>
    </row>
    <row r="39" spans="1:1" x14ac:dyDescent="0.25">
      <c r="A39" s="9" t="s">
        <v>61</v>
      </c>
    </row>
    <row r="40" spans="1:1" x14ac:dyDescent="0.25">
      <c r="A40" s="9" t="s">
        <v>62</v>
      </c>
    </row>
    <row r="41" spans="1:1" x14ac:dyDescent="0.25">
      <c r="A41" s="9" t="s">
        <v>63</v>
      </c>
    </row>
    <row r="42" spans="1:1" x14ac:dyDescent="0.25">
      <c r="A42" s="9" t="s">
        <v>64</v>
      </c>
    </row>
    <row r="43" spans="1:1" x14ac:dyDescent="0.25">
      <c r="A43" s="9" t="s">
        <v>65</v>
      </c>
    </row>
    <row r="44" spans="1:1" x14ac:dyDescent="0.25">
      <c r="A44" s="9" t="s">
        <v>66</v>
      </c>
    </row>
    <row r="45" spans="1:1" x14ac:dyDescent="0.25">
      <c r="A45" s="9" t="s">
        <v>67</v>
      </c>
    </row>
    <row r="46" spans="1:1" x14ac:dyDescent="0.25">
      <c r="A46" s="9" t="s">
        <v>68</v>
      </c>
    </row>
    <row r="47" spans="1:1" x14ac:dyDescent="0.25">
      <c r="A47" s="9" t="s">
        <v>69</v>
      </c>
    </row>
    <row r="48" spans="1:1" x14ac:dyDescent="0.25">
      <c r="A48" s="9" t="s">
        <v>70</v>
      </c>
    </row>
    <row r="49" spans="1:1" x14ac:dyDescent="0.25">
      <c r="A49" s="9" t="s">
        <v>71</v>
      </c>
    </row>
    <row r="50" spans="1:1" x14ac:dyDescent="0.25">
      <c r="A50" s="9" t="s">
        <v>72</v>
      </c>
    </row>
    <row r="51" spans="1:1" x14ac:dyDescent="0.25">
      <c r="A51" s="9" t="s">
        <v>73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Dashboard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brabo</dc:creator>
  <cp:lastModifiedBy>Bruno Augusto</cp:lastModifiedBy>
  <dcterms:created xsi:type="dcterms:W3CDTF">2026-01-09T13:06:15Z</dcterms:created>
  <dcterms:modified xsi:type="dcterms:W3CDTF">2026-01-23T19:47:28Z</dcterms:modified>
</cp:coreProperties>
</file>